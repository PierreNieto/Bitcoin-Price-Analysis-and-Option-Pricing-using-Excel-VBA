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eto/Desktop/vba project/"/>
    </mc:Choice>
  </mc:AlternateContent>
  <xr:revisionPtr revIDLastSave="0" documentId="13_ncr:1_{072D31F0-27FC-404A-A1AB-0354467C39C4}" xr6:coauthVersionLast="47" xr6:coauthVersionMax="47" xr10:uidLastSave="{00000000-0000-0000-0000-000000000000}"/>
  <bookViews>
    <workbookView xWindow="1360" yWindow="660" windowWidth="28040" windowHeight="17160" activeTab="2" xr2:uid="{E4EE7594-D359-0C47-8CC0-549AD52E33A5}"/>
  </bookViews>
  <sheets>
    <sheet name="Present Values" sheetId="1" r:id="rId1"/>
    <sheet name="BTC Volatility" sheetId="2" r:id="rId2"/>
    <sheet name="BTC Option Pricing" sheetId="3" r:id="rId3"/>
  </sheets>
  <functionGroups builtInGroupCount="19"/>
  <definedNames>
    <definedName name="_xleta.T" hidden="1" xlm="1">#NAME?</definedName>
    <definedName name="E">'BTC Volatility'!#REF!</definedName>
    <definedName name="Sigma">'BTC Volatility'!$F$3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 a="1"/>
  <c r="E2" i="1" s="1"/>
  <c r="B4" i="3" s="1"/>
  <c r="B3" i="3" l="1"/>
  <c r="F1" i="2" l="1"/>
  <c r="C4" i="2"/>
  <c r="F3" i="2" s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" i="2"/>
  <c r="I2" i="1" a="1"/>
  <c r="I2" i="1" s="1"/>
  <c r="B4" i="1" a="1"/>
  <c r="B4" i="1" s="1"/>
  <c r="B3" i="1" a="1"/>
  <c r="B3" i="1" s="1"/>
  <c r="B1" i="3" s="1"/>
  <c r="B2" i="1" a="1"/>
  <c r="B2" i="1" s="1"/>
  <c r="L4" i="2" a="1"/>
  <c r="H9" i="1" a="1"/>
  <c r="A9" i="1" a="1"/>
  <c r="L4" i="2" l="1"/>
  <c r="B5" i="3" s="1"/>
  <c r="F7" i="1" a="1"/>
  <c r="F7" i="1" s="1"/>
  <c r="F321" i="1"/>
  <c r="F272" i="1"/>
  <c r="F280" i="1"/>
  <c r="F288" i="1"/>
  <c r="F296" i="1"/>
  <c r="F304" i="1"/>
  <c r="F312" i="1"/>
  <c r="F320" i="1"/>
  <c r="F328" i="1"/>
  <c r="F336" i="1"/>
  <c r="F344" i="1"/>
  <c r="F352" i="1"/>
  <c r="F360" i="1"/>
  <c r="F368" i="1"/>
  <c r="F354" i="1"/>
  <c r="F283" i="1"/>
  <c r="F307" i="1"/>
  <c r="F331" i="1"/>
  <c r="F292" i="1"/>
  <c r="F300" i="1"/>
  <c r="F324" i="1"/>
  <c r="F348" i="1"/>
  <c r="F302" i="1"/>
  <c r="F366" i="1"/>
  <c r="F303" i="1"/>
  <c r="F327" i="1"/>
  <c r="F351" i="1"/>
  <c r="F273" i="1"/>
  <c r="F281" i="1"/>
  <c r="F289" i="1"/>
  <c r="F297" i="1"/>
  <c r="F305" i="1"/>
  <c r="F313" i="1"/>
  <c r="F329" i="1"/>
  <c r="F337" i="1"/>
  <c r="F345" i="1"/>
  <c r="F353" i="1"/>
  <c r="F361" i="1"/>
  <c r="F369" i="1"/>
  <c r="F346" i="1"/>
  <c r="F291" i="1"/>
  <c r="F315" i="1"/>
  <c r="F339" i="1"/>
  <c r="F347" i="1"/>
  <c r="F363" i="1"/>
  <c r="F276" i="1"/>
  <c r="F316" i="1"/>
  <c r="F340" i="1"/>
  <c r="F364" i="1"/>
  <c r="F286" i="1"/>
  <c r="F318" i="1"/>
  <c r="F334" i="1"/>
  <c r="F342" i="1"/>
  <c r="F358" i="1"/>
  <c r="F279" i="1"/>
  <c r="F311" i="1"/>
  <c r="F335" i="1"/>
  <c r="F367" i="1"/>
  <c r="F274" i="1"/>
  <c r="F282" i="1"/>
  <c r="F290" i="1"/>
  <c r="F298" i="1"/>
  <c r="F306" i="1"/>
  <c r="F314" i="1"/>
  <c r="F322" i="1"/>
  <c r="F330" i="1"/>
  <c r="F338" i="1"/>
  <c r="F362" i="1"/>
  <c r="F275" i="1"/>
  <c r="F299" i="1"/>
  <c r="F323" i="1"/>
  <c r="F355" i="1"/>
  <c r="F284" i="1"/>
  <c r="F308" i="1"/>
  <c r="F332" i="1"/>
  <c r="F356" i="1"/>
  <c r="F294" i="1"/>
  <c r="F295" i="1"/>
  <c r="F343" i="1"/>
  <c r="F277" i="1"/>
  <c r="F285" i="1"/>
  <c r="F293" i="1"/>
  <c r="F301" i="1"/>
  <c r="F309" i="1"/>
  <c r="F317" i="1"/>
  <c r="F325" i="1"/>
  <c r="F333" i="1"/>
  <c r="F341" i="1"/>
  <c r="F349" i="1"/>
  <c r="F357" i="1"/>
  <c r="F365" i="1"/>
  <c r="F278" i="1"/>
  <c r="F310" i="1"/>
  <c r="F326" i="1"/>
  <c r="F350" i="1"/>
  <c r="F287" i="1"/>
  <c r="F319" i="1"/>
  <c r="F359" i="1"/>
  <c r="F270" i="1"/>
  <c r="F271" i="1"/>
  <c r="F11" i="1"/>
  <c r="F12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253" i="1"/>
  <c r="F261" i="1"/>
  <c r="F269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254" i="1"/>
  <c r="F262" i="1"/>
  <c r="F194" i="1"/>
  <c r="F218" i="1"/>
  <c r="F242" i="1"/>
  <c r="F266" i="1"/>
  <c r="F35" i="1"/>
  <c r="F59" i="1"/>
  <c r="F83" i="1"/>
  <c r="F107" i="1"/>
  <c r="F131" i="1"/>
  <c r="F155" i="1"/>
  <c r="F179" i="1"/>
  <c r="F203" i="1"/>
  <c r="F227" i="1"/>
  <c r="F243" i="1"/>
  <c r="F267" i="1"/>
  <c r="F36" i="1"/>
  <c r="F44" i="1"/>
  <c r="F68" i="1"/>
  <c r="F92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263" i="1"/>
  <c r="F128" i="1"/>
  <c r="F160" i="1"/>
  <c r="F176" i="1"/>
  <c r="F200" i="1"/>
  <c r="F216" i="1"/>
  <c r="F232" i="1"/>
  <c r="F256" i="1"/>
  <c r="F17" i="1"/>
  <c r="F41" i="1"/>
  <c r="F49" i="1"/>
  <c r="F65" i="1"/>
  <c r="F73" i="1"/>
  <c r="F89" i="1"/>
  <c r="F97" i="1"/>
  <c r="F113" i="1"/>
  <c r="F121" i="1"/>
  <c r="F137" i="1"/>
  <c r="F153" i="1"/>
  <c r="F169" i="1"/>
  <c r="F185" i="1"/>
  <c r="F201" i="1"/>
  <c r="F217" i="1"/>
  <c r="F233" i="1"/>
  <c r="F249" i="1"/>
  <c r="F18" i="1"/>
  <c r="F42" i="1"/>
  <c r="F58" i="1"/>
  <c r="F66" i="1"/>
  <c r="F82" i="1"/>
  <c r="F90" i="1"/>
  <c r="F98" i="1"/>
  <c r="F114" i="1"/>
  <c r="F122" i="1"/>
  <c r="F138" i="1"/>
  <c r="F154" i="1"/>
  <c r="F162" i="1"/>
  <c r="F186" i="1"/>
  <c r="F210" i="1"/>
  <c r="F234" i="1"/>
  <c r="F258" i="1"/>
  <c r="F27" i="1"/>
  <c r="F51" i="1"/>
  <c r="F67" i="1"/>
  <c r="F91" i="1"/>
  <c r="F115" i="1"/>
  <c r="F147" i="1"/>
  <c r="F171" i="1"/>
  <c r="F187" i="1"/>
  <c r="F211" i="1"/>
  <c r="F235" i="1"/>
  <c r="F259" i="1"/>
  <c r="F28" i="1"/>
  <c r="F60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36" i="1"/>
  <c r="F144" i="1"/>
  <c r="F152" i="1"/>
  <c r="F168" i="1"/>
  <c r="F184" i="1"/>
  <c r="F192" i="1"/>
  <c r="F208" i="1"/>
  <c r="F224" i="1"/>
  <c r="F240" i="1"/>
  <c r="F248" i="1"/>
  <c r="F264" i="1"/>
  <c r="F25" i="1"/>
  <c r="F33" i="1"/>
  <c r="F57" i="1"/>
  <c r="F81" i="1"/>
  <c r="F105" i="1"/>
  <c r="F129" i="1"/>
  <c r="F145" i="1"/>
  <c r="F161" i="1"/>
  <c r="F177" i="1"/>
  <c r="F193" i="1"/>
  <c r="F209" i="1"/>
  <c r="F225" i="1"/>
  <c r="F241" i="1"/>
  <c r="F257" i="1"/>
  <c r="F265" i="1"/>
  <c r="F26" i="1"/>
  <c r="F34" i="1"/>
  <c r="F50" i="1"/>
  <c r="F74" i="1"/>
  <c r="F106" i="1"/>
  <c r="F130" i="1"/>
  <c r="F146" i="1"/>
  <c r="F170" i="1"/>
  <c r="F178" i="1"/>
  <c r="F202" i="1"/>
  <c r="F226" i="1"/>
  <c r="F250" i="1"/>
  <c r="F19" i="1"/>
  <c r="F43" i="1"/>
  <c r="F75" i="1"/>
  <c r="F99" i="1"/>
  <c r="F123" i="1"/>
  <c r="F139" i="1"/>
  <c r="F163" i="1"/>
  <c r="F195" i="1"/>
  <c r="F219" i="1"/>
  <c r="F251" i="1"/>
  <c r="F20" i="1"/>
  <c r="F52" i="1"/>
  <c r="F76" i="1"/>
  <c r="F84" i="1"/>
  <c r="F156" i="1"/>
  <c r="F220" i="1"/>
  <c r="F100" i="1"/>
  <c r="F164" i="1"/>
  <c r="F228" i="1"/>
  <c r="F108" i="1"/>
  <c r="F172" i="1"/>
  <c r="F236" i="1"/>
  <c r="F116" i="1"/>
  <c r="F180" i="1"/>
  <c r="F244" i="1"/>
  <c r="F124" i="1"/>
  <c r="F188" i="1"/>
  <c r="F252" i="1"/>
  <c r="F132" i="1"/>
  <c r="F196" i="1"/>
  <c r="F260" i="1"/>
  <c r="F140" i="1"/>
  <c r="F204" i="1"/>
  <c r="F268" i="1"/>
  <c r="F148" i="1"/>
  <c r="F212" i="1"/>
  <c r="H9" i="1"/>
  <c r="H7" i="1" a="1"/>
  <c r="H7" i="1" s="1"/>
  <c r="F10" i="1"/>
  <c r="A9" i="1"/>
  <c r="L4" i="3" a="1"/>
  <c r="L5" i="3" a="1"/>
  <c r="J7" i="1" l="1"/>
  <c r="L5" i="3"/>
  <c r="L4" i="3"/>
  <c r="B7" i="3"/>
  <c r="B8" i="3" s="1"/>
  <c r="B11" i="3" s="1"/>
  <c r="B10" i="3" l="1"/>
  <c r="F4" i="2"/>
  <c r="F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tc={B127647C-92E9-154D-A1DD-14106417C853}</author>
    <author>tc={906693E4-0B45-BA46-B3AE-8C94417FF8D8}</author>
    <author>tc={3D6F7AE0-B472-2744-89BD-131C3BDAEA34}</author>
    <author>tc={D6CBF698-C518-6049-8F42-A98950FBD19F}</author>
  </authors>
  <commentList>
    <comment ref="H6" authorId="0" shapeId="0" xr:uid="{B127647C-92E9-154D-A1DD-14106417C853}">
      <text>
        <t>[Threaded comment]
Your version of Excel allows you to read this threaded comment; however, any edits to it will get removed if the file is opened in a newer version of Excel. Learn more: https://go.microsoft.com/fwlink/?linkid=870924
Comment:
    Annual EUR/USD variation</t>
      </text>
    </comment>
    <comment ref="J6" authorId="1" shapeId="0" xr:uid="{906693E4-0B45-BA46-B3AE-8C94417FF8D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 crypto return in euro with FX variation </t>
      </text>
    </comment>
    <comment ref="A7" authorId="2" shapeId="0" xr:uid="{3D6F7AE0-B472-2744-89BD-131C3BDAEA34}">
      <text>
        <t>[Threaded comment]
Your version of Excel allows you to read this threaded comment; however, any edits to it will get removed if the file is opened in a newer version of Excel. Learn more: https://go.microsoft.com/fwlink/?linkid=870924
Comment:
    filter</t>
      </text>
    </comment>
    <comment ref="D7" authorId="3" shapeId="0" xr:uid="{D6CBF698-C518-6049-8F42-A98950FBD19F}">
      <text>
        <t>[Threaded comment]
Your version of Excel allows you to read this threaded comment; however, any edits to it will get removed if the file is opened in a newer version of Excel. Learn more: https://go.microsoft.com/fwlink/?linkid=870924
Comment:
    Adaptative between BTC/EUR or BTC/USD annual return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tc={8A1B03A7-B5C0-4F4F-9917-31E67A0F2EC8}</author>
    <author>tc={75BE9A78-2BFC-9A4A-81FD-5090680069DB}</author>
    <author>tc={2C1349EA-C6A2-C046-910C-0CFF0351285C}</author>
    <author>tc={6C5404AD-2951-F649-A3B8-490A41641CC3}</author>
    <author>tc={27B6B35B-FD84-304C-80CB-7E7A53E67C72}</author>
    <author>tc={05902DA3-D2BA-0A48-813F-A47E40227599}</author>
  </authors>
  <commentList>
    <comment ref="C1" authorId="0" shapeId="0" xr:uid="{8A1B03A7-B5C0-4F4F-9917-31E67A0F2EC8}">
      <text>
        <t>[Threaded comment]
Your version of Excel allows you to read this threaded comment; however, any edits to it will get removed if the file is opened in a newer version of Excel. Learn more: https://go.microsoft.com/fwlink/?linkid=870924
Comment:
    Log return : Ln(Dt+1/Dt) because more accurate</t>
      </text>
    </comment>
    <comment ref="H1" authorId="1" shapeId="0" xr:uid="{75BE9A78-2BFC-9A4A-81FD-5090680069D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ex : Livret A : 1.7% </t>
      </text>
    </comment>
    <comment ref="E3" authorId="2" shapeId="0" xr:uid="{2C1349EA-C6A2-C046-910C-0CFF0351285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Daily volatility = Btc is moving in daily  average : </t>
      </text>
    </comment>
    <comment ref="E4" authorId="3" shapeId="0" xr:uid="{6C5404AD-2951-F649-A3B8-490A41641CC3}">
      <text>
        <t>[Threaded comment]
Your version of Excel allows you to read this threaded comment; however, any edits to it will get removed if the file is opened in a newer version of Excel. Learn more: https://go.microsoft.com/fwlink/?linkid=870924
Comment:
    Sigma*Sqrt(Nb of days)</t>
      </text>
    </comment>
    <comment ref="J4" authorId="4" shapeId="0" xr:uid="{27B6B35B-FD84-304C-80CB-7E7A53E67C72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small difference btw VBA and excel is due to the difference of days (n or n-1) here 365 or 364 for the returns</t>
      </text>
    </comment>
    <comment ref="E6" authorId="5" shapeId="0" xr:uid="{05902DA3-D2BA-0A48-813F-A47E40227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SR=(Annual return - RiskFree rate)/ Annual Volatility
SR &lt; 0: The investment is losing money (or underperforming a risk-free asset).
0&lt; SR &lt;1: Acceptable, but the risk is high relative to the return
SR &gt; 1: Good investment (the risk is well compensated).
SR &gt; 2: Excellent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tc={B6DB2016-3E2C-0047-B6ED-5A70B3974692}</author>
    <author>tc={578909CA-372D-3A40-83F0-30B440E5BFBE}</author>
    <author>tc={7C0C1A84-2C75-0241-B91A-65AD1765E50D}</author>
    <author>tc={4A112881-1A09-E245-B204-A0FCB3A8C86C}</author>
    <author>tc={A455268B-186F-4249-B66F-AFE8EF98F68F}</author>
  </authors>
  <commentList>
    <comment ref="A1" authorId="0" shapeId="0" xr:uid="{B6DB2016-3E2C-0047-B6ED-5A70B3974692}">
      <text>
        <t>[Threaded comment]
Your version of Excel allows you to read this threaded comment; however, any edits to it will get removed if the file is opened in a newer version of Excel. Learn more: https://go.microsoft.com/fwlink/?linkid=870924
Comment:
    Spot Price</t>
      </text>
    </comment>
    <comment ref="A2" authorId="1" shapeId="0" xr:uid="{578909CA-372D-3A40-83F0-30B440E5BF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Strike Price
</t>
      </text>
    </comment>
    <comment ref="A3" authorId="2" shapeId="0" xr:uid="{7C0C1A84-2C75-0241-B91A-65AD1765E50D}">
      <text>
        <t>[Threaded comment]
Your version of Excel allows you to read this threaded comment; however, any edits to it will get removed if the file is opened in a newer version of Excel. Learn more: https://go.microsoft.com/fwlink/?linkid=870924
Comment:
    Time to Maturity : for 30 days =30/365</t>
      </text>
    </comment>
    <comment ref="A4" authorId="3" shapeId="0" xr:uid="{4A112881-1A09-E245-B204-A0FCB3A8C86C}">
      <text>
        <t>[Threaded comment]
Your version of Excel allows you to read this threaded comment; however, any edits to it will get removed if the file is opened in a newer version of Excel. Learn more: https://go.microsoft.com/fwlink/?linkid=870924
Comment:
    Risk-Free Rate, here we use discounted T bonds</t>
      </text>
    </comment>
    <comment ref="A5" authorId="4" shapeId="0" xr:uid="{A455268B-186F-4249-B66F-AFE8EF98F68F}">
      <text>
        <t>[Threaded comment]
Your version of Excel allows you to read this threaded comment; however, any edits to it will get removed if the file is opened in a newer version of Excel. Learn more: https://go.microsoft.com/fwlink/?linkid=870924
Comment:
    Annualized Volatility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987">
    <bk>
      <extLst>
        <ext uri="{3e2802c4-a4d2-4d8b-9148-e3be6c30e623}">
          <xlrd:rvb i="1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  <bk>
      <extLst>
        <ext uri="{3e2802c4-a4d2-4d8b-9148-e3be6c30e623}">
          <xlrd:rvb i="893"/>
        </ext>
      </extLst>
    </bk>
    <bk>
      <extLst>
        <ext uri="{3e2802c4-a4d2-4d8b-9148-e3be6c30e623}">
          <xlrd:rvb i="894"/>
        </ext>
      </extLst>
    </bk>
    <bk>
      <extLst>
        <ext uri="{3e2802c4-a4d2-4d8b-9148-e3be6c30e623}">
          <xlrd:rvb i="895"/>
        </ext>
      </extLst>
    </bk>
    <bk>
      <extLst>
        <ext uri="{3e2802c4-a4d2-4d8b-9148-e3be6c30e623}">
          <xlrd:rvb i="896"/>
        </ext>
      </extLst>
    </bk>
    <bk>
      <extLst>
        <ext uri="{3e2802c4-a4d2-4d8b-9148-e3be6c30e623}">
          <xlrd:rvb i="897"/>
        </ext>
      </extLst>
    </bk>
    <bk>
      <extLst>
        <ext uri="{3e2802c4-a4d2-4d8b-9148-e3be6c30e623}">
          <xlrd:rvb i="898"/>
        </ext>
      </extLst>
    </bk>
    <bk>
      <extLst>
        <ext uri="{3e2802c4-a4d2-4d8b-9148-e3be6c30e623}">
          <xlrd:rvb i="899"/>
        </ext>
      </extLst>
    </bk>
    <bk>
      <extLst>
        <ext uri="{3e2802c4-a4d2-4d8b-9148-e3be6c30e623}">
          <xlrd:rvb i="900"/>
        </ext>
      </extLst>
    </bk>
    <bk>
      <extLst>
        <ext uri="{3e2802c4-a4d2-4d8b-9148-e3be6c30e623}">
          <xlrd:rvb i="901"/>
        </ext>
      </extLst>
    </bk>
    <bk>
      <extLst>
        <ext uri="{3e2802c4-a4d2-4d8b-9148-e3be6c30e623}">
          <xlrd:rvb i="902"/>
        </ext>
      </extLst>
    </bk>
    <bk>
      <extLst>
        <ext uri="{3e2802c4-a4d2-4d8b-9148-e3be6c30e623}">
          <xlrd:rvb i="903"/>
        </ext>
      </extLst>
    </bk>
    <bk>
      <extLst>
        <ext uri="{3e2802c4-a4d2-4d8b-9148-e3be6c30e623}">
          <xlrd:rvb i="904"/>
        </ext>
      </extLst>
    </bk>
    <bk>
      <extLst>
        <ext uri="{3e2802c4-a4d2-4d8b-9148-e3be6c30e623}">
          <xlrd:rvb i="905"/>
        </ext>
      </extLst>
    </bk>
    <bk>
      <extLst>
        <ext uri="{3e2802c4-a4d2-4d8b-9148-e3be6c30e623}">
          <xlrd:rvb i="906"/>
        </ext>
      </extLst>
    </bk>
    <bk>
      <extLst>
        <ext uri="{3e2802c4-a4d2-4d8b-9148-e3be6c30e623}">
          <xlrd:rvb i="907"/>
        </ext>
      </extLst>
    </bk>
    <bk>
      <extLst>
        <ext uri="{3e2802c4-a4d2-4d8b-9148-e3be6c30e623}">
          <xlrd:rvb i="908"/>
        </ext>
      </extLst>
    </bk>
    <bk>
      <extLst>
        <ext uri="{3e2802c4-a4d2-4d8b-9148-e3be6c30e623}">
          <xlrd:rvb i="909"/>
        </ext>
      </extLst>
    </bk>
    <bk>
      <extLst>
        <ext uri="{3e2802c4-a4d2-4d8b-9148-e3be6c30e623}">
          <xlrd:rvb i="910"/>
        </ext>
      </extLst>
    </bk>
    <bk>
      <extLst>
        <ext uri="{3e2802c4-a4d2-4d8b-9148-e3be6c30e623}">
          <xlrd:rvb i="911"/>
        </ext>
      </extLst>
    </bk>
    <bk>
      <extLst>
        <ext uri="{3e2802c4-a4d2-4d8b-9148-e3be6c30e623}">
          <xlrd:rvb i="912"/>
        </ext>
      </extLst>
    </bk>
    <bk>
      <extLst>
        <ext uri="{3e2802c4-a4d2-4d8b-9148-e3be6c30e623}">
          <xlrd:rvb i="913"/>
        </ext>
      </extLst>
    </bk>
    <bk>
      <extLst>
        <ext uri="{3e2802c4-a4d2-4d8b-9148-e3be6c30e623}">
          <xlrd:rvb i="914"/>
        </ext>
      </extLst>
    </bk>
    <bk>
      <extLst>
        <ext uri="{3e2802c4-a4d2-4d8b-9148-e3be6c30e623}">
          <xlrd:rvb i="915"/>
        </ext>
      </extLst>
    </bk>
    <bk>
      <extLst>
        <ext uri="{3e2802c4-a4d2-4d8b-9148-e3be6c30e623}">
          <xlrd:rvb i="916"/>
        </ext>
      </extLst>
    </bk>
    <bk>
      <extLst>
        <ext uri="{3e2802c4-a4d2-4d8b-9148-e3be6c30e623}">
          <xlrd:rvb i="917"/>
        </ext>
      </extLst>
    </bk>
    <bk>
      <extLst>
        <ext uri="{3e2802c4-a4d2-4d8b-9148-e3be6c30e623}">
          <xlrd:rvb i="918"/>
        </ext>
      </extLst>
    </bk>
    <bk>
      <extLst>
        <ext uri="{3e2802c4-a4d2-4d8b-9148-e3be6c30e623}">
          <xlrd:rvb i="919"/>
        </ext>
      </extLst>
    </bk>
    <bk>
      <extLst>
        <ext uri="{3e2802c4-a4d2-4d8b-9148-e3be6c30e623}">
          <xlrd:rvb i="920"/>
        </ext>
      </extLst>
    </bk>
    <bk>
      <extLst>
        <ext uri="{3e2802c4-a4d2-4d8b-9148-e3be6c30e623}">
          <xlrd:rvb i="921"/>
        </ext>
      </extLst>
    </bk>
    <bk>
      <extLst>
        <ext uri="{3e2802c4-a4d2-4d8b-9148-e3be6c30e623}">
          <xlrd:rvb i="922"/>
        </ext>
      </extLst>
    </bk>
    <bk>
      <extLst>
        <ext uri="{3e2802c4-a4d2-4d8b-9148-e3be6c30e623}">
          <xlrd:rvb i="923"/>
        </ext>
      </extLst>
    </bk>
    <bk>
      <extLst>
        <ext uri="{3e2802c4-a4d2-4d8b-9148-e3be6c30e623}">
          <xlrd:rvb i="924"/>
        </ext>
      </extLst>
    </bk>
    <bk>
      <extLst>
        <ext uri="{3e2802c4-a4d2-4d8b-9148-e3be6c30e623}">
          <xlrd:rvb i="925"/>
        </ext>
      </extLst>
    </bk>
    <bk>
      <extLst>
        <ext uri="{3e2802c4-a4d2-4d8b-9148-e3be6c30e623}">
          <xlrd:rvb i="926"/>
        </ext>
      </extLst>
    </bk>
    <bk>
      <extLst>
        <ext uri="{3e2802c4-a4d2-4d8b-9148-e3be6c30e623}">
          <xlrd:rvb i="927"/>
        </ext>
      </extLst>
    </bk>
    <bk>
      <extLst>
        <ext uri="{3e2802c4-a4d2-4d8b-9148-e3be6c30e623}">
          <xlrd:rvb i="928"/>
        </ext>
      </extLst>
    </bk>
    <bk>
      <extLst>
        <ext uri="{3e2802c4-a4d2-4d8b-9148-e3be6c30e623}">
          <xlrd:rvb i="929"/>
        </ext>
      </extLst>
    </bk>
    <bk>
      <extLst>
        <ext uri="{3e2802c4-a4d2-4d8b-9148-e3be6c30e623}">
          <xlrd:rvb i="930"/>
        </ext>
      </extLst>
    </bk>
    <bk>
      <extLst>
        <ext uri="{3e2802c4-a4d2-4d8b-9148-e3be6c30e623}">
          <xlrd:rvb i="931"/>
        </ext>
      </extLst>
    </bk>
    <bk>
      <extLst>
        <ext uri="{3e2802c4-a4d2-4d8b-9148-e3be6c30e623}">
          <xlrd:rvb i="932"/>
        </ext>
      </extLst>
    </bk>
    <bk>
      <extLst>
        <ext uri="{3e2802c4-a4d2-4d8b-9148-e3be6c30e623}">
          <xlrd:rvb i="933"/>
        </ext>
      </extLst>
    </bk>
    <bk>
      <extLst>
        <ext uri="{3e2802c4-a4d2-4d8b-9148-e3be6c30e623}">
          <xlrd:rvb i="934"/>
        </ext>
      </extLst>
    </bk>
    <bk>
      <extLst>
        <ext uri="{3e2802c4-a4d2-4d8b-9148-e3be6c30e623}">
          <xlrd:rvb i="935"/>
        </ext>
      </extLst>
    </bk>
    <bk>
      <extLst>
        <ext uri="{3e2802c4-a4d2-4d8b-9148-e3be6c30e623}">
          <xlrd:rvb i="936"/>
        </ext>
      </extLst>
    </bk>
    <bk>
      <extLst>
        <ext uri="{3e2802c4-a4d2-4d8b-9148-e3be6c30e623}">
          <xlrd:rvb i="937"/>
        </ext>
      </extLst>
    </bk>
    <bk>
      <extLst>
        <ext uri="{3e2802c4-a4d2-4d8b-9148-e3be6c30e623}">
          <xlrd:rvb i="938"/>
        </ext>
      </extLst>
    </bk>
    <bk>
      <extLst>
        <ext uri="{3e2802c4-a4d2-4d8b-9148-e3be6c30e623}">
          <xlrd:rvb i="939"/>
        </ext>
      </extLst>
    </bk>
    <bk>
      <extLst>
        <ext uri="{3e2802c4-a4d2-4d8b-9148-e3be6c30e623}">
          <xlrd:rvb i="940"/>
        </ext>
      </extLst>
    </bk>
    <bk>
      <extLst>
        <ext uri="{3e2802c4-a4d2-4d8b-9148-e3be6c30e623}">
          <xlrd:rvb i="941"/>
        </ext>
      </extLst>
    </bk>
    <bk>
      <extLst>
        <ext uri="{3e2802c4-a4d2-4d8b-9148-e3be6c30e623}">
          <xlrd:rvb i="942"/>
        </ext>
      </extLst>
    </bk>
    <bk>
      <extLst>
        <ext uri="{3e2802c4-a4d2-4d8b-9148-e3be6c30e623}">
          <xlrd:rvb i="943"/>
        </ext>
      </extLst>
    </bk>
    <bk>
      <extLst>
        <ext uri="{3e2802c4-a4d2-4d8b-9148-e3be6c30e623}">
          <xlrd:rvb i="944"/>
        </ext>
      </extLst>
    </bk>
    <bk>
      <extLst>
        <ext uri="{3e2802c4-a4d2-4d8b-9148-e3be6c30e623}">
          <xlrd:rvb i="945"/>
        </ext>
      </extLst>
    </bk>
    <bk>
      <extLst>
        <ext uri="{3e2802c4-a4d2-4d8b-9148-e3be6c30e623}">
          <xlrd:rvb i="946"/>
        </ext>
      </extLst>
    </bk>
    <bk>
      <extLst>
        <ext uri="{3e2802c4-a4d2-4d8b-9148-e3be6c30e623}">
          <xlrd:rvb i="947"/>
        </ext>
      </extLst>
    </bk>
    <bk>
      <extLst>
        <ext uri="{3e2802c4-a4d2-4d8b-9148-e3be6c30e623}">
          <xlrd:rvb i="948"/>
        </ext>
      </extLst>
    </bk>
    <bk>
      <extLst>
        <ext uri="{3e2802c4-a4d2-4d8b-9148-e3be6c30e623}">
          <xlrd:rvb i="949"/>
        </ext>
      </extLst>
    </bk>
    <bk>
      <extLst>
        <ext uri="{3e2802c4-a4d2-4d8b-9148-e3be6c30e623}">
          <xlrd:rvb i="950"/>
        </ext>
      </extLst>
    </bk>
    <bk>
      <extLst>
        <ext uri="{3e2802c4-a4d2-4d8b-9148-e3be6c30e623}">
          <xlrd:rvb i="951"/>
        </ext>
      </extLst>
    </bk>
    <bk>
      <extLst>
        <ext uri="{3e2802c4-a4d2-4d8b-9148-e3be6c30e623}">
          <xlrd:rvb i="952"/>
        </ext>
      </extLst>
    </bk>
    <bk>
      <extLst>
        <ext uri="{3e2802c4-a4d2-4d8b-9148-e3be6c30e623}">
          <xlrd:rvb i="953"/>
        </ext>
      </extLst>
    </bk>
    <bk>
      <extLst>
        <ext uri="{3e2802c4-a4d2-4d8b-9148-e3be6c30e623}">
          <xlrd:rvb i="954"/>
        </ext>
      </extLst>
    </bk>
    <bk>
      <extLst>
        <ext uri="{3e2802c4-a4d2-4d8b-9148-e3be6c30e623}">
          <xlrd:rvb i="955"/>
        </ext>
      </extLst>
    </bk>
    <bk>
      <extLst>
        <ext uri="{3e2802c4-a4d2-4d8b-9148-e3be6c30e623}">
          <xlrd:rvb i="956"/>
        </ext>
      </extLst>
    </bk>
    <bk>
      <extLst>
        <ext uri="{3e2802c4-a4d2-4d8b-9148-e3be6c30e623}">
          <xlrd:rvb i="957"/>
        </ext>
      </extLst>
    </bk>
    <bk>
      <extLst>
        <ext uri="{3e2802c4-a4d2-4d8b-9148-e3be6c30e623}">
          <xlrd:rvb i="958"/>
        </ext>
      </extLst>
    </bk>
    <bk>
      <extLst>
        <ext uri="{3e2802c4-a4d2-4d8b-9148-e3be6c30e623}">
          <xlrd:rvb i="959"/>
        </ext>
      </extLst>
    </bk>
    <bk>
      <extLst>
        <ext uri="{3e2802c4-a4d2-4d8b-9148-e3be6c30e623}">
          <xlrd:rvb i="960"/>
        </ext>
      </extLst>
    </bk>
    <bk>
      <extLst>
        <ext uri="{3e2802c4-a4d2-4d8b-9148-e3be6c30e623}">
          <xlrd:rvb i="961"/>
        </ext>
      </extLst>
    </bk>
    <bk>
      <extLst>
        <ext uri="{3e2802c4-a4d2-4d8b-9148-e3be6c30e623}">
          <xlrd:rvb i="962"/>
        </ext>
      </extLst>
    </bk>
    <bk>
      <extLst>
        <ext uri="{3e2802c4-a4d2-4d8b-9148-e3be6c30e623}">
          <xlrd:rvb i="963"/>
        </ext>
      </extLst>
    </bk>
    <bk>
      <extLst>
        <ext uri="{3e2802c4-a4d2-4d8b-9148-e3be6c30e623}">
          <xlrd:rvb i="964"/>
        </ext>
      </extLst>
    </bk>
    <bk>
      <extLst>
        <ext uri="{3e2802c4-a4d2-4d8b-9148-e3be6c30e623}">
          <xlrd:rvb i="965"/>
        </ext>
      </extLst>
    </bk>
    <bk>
      <extLst>
        <ext uri="{3e2802c4-a4d2-4d8b-9148-e3be6c30e623}">
          <xlrd:rvb i="966"/>
        </ext>
      </extLst>
    </bk>
    <bk>
      <extLst>
        <ext uri="{3e2802c4-a4d2-4d8b-9148-e3be6c30e623}">
          <xlrd:rvb i="967"/>
        </ext>
      </extLst>
    </bk>
    <bk>
      <extLst>
        <ext uri="{3e2802c4-a4d2-4d8b-9148-e3be6c30e623}">
          <xlrd:rvb i="968"/>
        </ext>
      </extLst>
    </bk>
    <bk>
      <extLst>
        <ext uri="{3e2802c4-a4d2-4d8b-9148-e3be6c30e623}">
          <xlrd:rvb i="969"/>
        </ext>
      </extLst>
    </bk>
    <bk>
      <extLst>
        <ext uri="{3e2802c4-a4d2-4d8b-9148-e3be6c30e623}">
          <xlrd:rvb i="970"/>
        </ext>
      </extLst>
    </bk>
    <bk>
      <extLst>
        <ext uri="{3e2802c4-a4d2-4d8b-9148-e3be6c30e623}">
          <xlrd:rvb i="971"/>
        </ext>
      </extLst>
    </bk>
    <bk>
      <extLst>
        <ext uri="{3e2802c4-a4d2-4d8b-9148-e3be6c30e623}">
          <xlrd:rvb i="972"/>
        </ext>
      </extLst>
    </bk>
    <bk>
      <extLst>
        <ext uri="{3e2802c4-a4d2-4d8b-9148-e3be6c30e623}">
          <xlrd:rvb i="973"/>
        </ext>
      </extLst>
    </bk>
    <bk>
      <extLst>
        <ext uri="{3e2802c4-a4d2-4d8b-9148-e3be6c30e623}">
          <xlrd:rvb i="974"/>
        </ext>
      </extLst>
    </bk>
    <bk>
      <extLst>
        <ext uri="{3e2802c4-a4d2-4d8b-9148-e3be6c30e623}">
          <xlrd:rvb i="975"/>
        </ext>
      </extLst>
    </bk>
    <bk>
      <extLst>
        <ext uri="{3e2802c4-a4d2-4d8b-9148-e3be6c30e623}">
          <xlrd:rvb i="976"/>
        </ext>
      </extLst>
    </bk>
    <bk>
      <extLst>
        <ext uri="{3e2802c4-a4d2-4d8b-9148-e3be6c30e623}">
          <xlrd:rvb i="977"/>
        </ext>
      </extLst>
    </bk>
    <bk>
      <extLst>
        <ext uri="{3e2802c4-a4d2-4d8b-9148-e3be6c30e623}">
          <xlrd:rvb i="978"/>
        </ext>
      </extLst>
    </bk>
    <bk>
      <extLst>
        <ext uri="{3e2802c4-a4d2-4d8b-9148-e3be6c30e623}">
          <xlrd:rvb i="979"/>
        </ext>
      </extLst>
    </bk>
    <bk>
      <extLst>
        <ext uri="{3e2802c4-a4d2-4d8b-9148-e3be6c30e623}">
          <xlrd:rvb i="980"/>
        </ext>
      </extLst>
    </bk>
    <bk>
      <extLst>
        <ext uri="{3e2802c4-a4d2-4d8b-9148-e3be6c30e623}">
          <xlrd:rvb i="981"/>
        </ext>
      </extLst>
    </bk>
    <bk>
      <extLst>
        <ext uri="{3e2802c4-a4d2-4d8b-9148-e3be6c30e623}">
          <xlrd:rvb i="982"/>
        </ext>
      </extLst>
    </bk>
    <bk>
      <extLst>
        <ext uri="{3e2802c4-a4d2-4d8b-9148-e3be6c30e623}">
          <xlrd:rvb i="983"/>
        </ext>
      </extLst>
    </bk>
    <bk>
      <extLst>
        <ext uri="{3e2802c4-a4d2-4d8b-9148-e3be6c30e623}">
          <xlrd:rvb i="984"/>
        </ext>
      </extLst>
    </bk>
    <bk>
      <extLst>
        <ext uri="{3e2802c4-a4d2-4d8b-9148-e3be6c30e623}">
          <xlrd:rvb i="985"/>
        </ext>
      </extLst>
    </bk>
    <bk>
      <extLst>
        <ext uri="{3e2802c4-a4d2-4d8b-9148-e3be6c30e623}">
          <xlrd:rvb i="986"/>
        </ext>
      </extLst>
    </bk>
    <bk>
      <extLst>
        <ext uri="{3e2802c4-a4d2-4d8b-9148-e3be6c30e623}">
          <xlrd:rvb i="987"/>
        </ext>
      </extLst>
    </bk>
    <bk>
      <extLst>
        <ext uri="{3e2802c4-a4d2-4d8b-9148-e3be6c30e623}">
          <xlrd:rvb i="988"/>
        </ext>
      </extLst>
    </bk>
    <bk>
      <extLst>
        <ext uri="{3e2802c4-a4d2-4d8b-9148-e3be6c30e623}">
          <xlrd:rvb i="989"/>
        </ext>
      </extLst>
    </bk>
    <bk>
      <extLst>
        <ext uri="{3e2802c4-a4d2-4d8b-9148-e3be6c30e623}">
          <xlrd:rvb i="990"/>
        </ext>
      </extLst>
    </bk>
    <bk>
      <extLst>
        <ext uri="{3e2802c4-a4d2-4d8b-9148-e3be6c30e623}">
          <xlrd:rvb i="991"/>
        </ext>
      </extLst>
    </bk>
    <bk>
      <extLst>
        <ext uri="{3e2802c4-a4d2-4d8b-9148-e3be6c30e623}">
          <xlrd:rvb i="992"/>
        </ext>
      </extLst>
    </bk>
    <bk>
      <extLst>
        <ext uri="{3e2802c4-a4d2-4d8b-9148-e3be6c30e623}">
          <xlrd:rvb i="993"/>
        </ext>
      </extLst>
    </bk>
    <bk>
      <extLst>
        <ext uri="{3e2802c4-a4d2-4d8b-9148-e3be6c30e623}">
          <xlrd:rvb i="994"/>
        </ext>
      </extLst>
    </bk>
    <bk>
      <extLst>
        <ext uri="{3e2802c4-a4d2-4d8b-9148-e3be6c30e623}">
          <xlrd:rvb i="995"/>
        </ext>
      </extLst>
    </bk>
    <bk>
      <extLst>
        <ext uri="{3e2802c4-a4d2-4d8b-9148-e3be6c30e623}">
          <xlrd:rvb i="996"/>
        </ext>
      </extLst>
    </bk>
    <bk>
      <extLst>
        <ext uri="{3e2802c4-a4d2-4d8b-9148-e3be6c30e623}">
          <xlrd:rvb i="997"/>
        </ext>
      </extLst>
    </bk>
    <bk>
      <extLst>
        <ext uri="{3e2802c4-a4d2-4d8b-9148-e3be6c30e623}">
          <xlrd:rvb i="998"/>
        </ext>
      </extLst>
    </bk>
    <bk>
      <extLst>
        <ext uri="{3e2802c4-a4d2-4d8b-9148-e3be6c30e623}">
          <xlrd:rvb i="999"/>
        </ext>
      </extLst>
    </bk>
    <bk>
      <extLst>
        <ext uri="{3e2802c4-a4d2-4d8b-9148-e3be6c30e623}">
          <xlrd:rvb i="1000"/>
        </ext>
      </extLst>
    </bk>
    <bk>
      <extLst>
        <ext uri="{3e2802c4-a4d2-4d8b-9148-e3be6c30e623}">
          <xlrd:rvb i="1001"/>
        </ext>
      </extLst>
    </bk>
    <bk>
      <extLst>
        <ext uri="{3e2802c4-a4d2-4d8b-9148-e3be6c30e623}">
          <xlrd:rvb i="1002"/>
        </ext>
      </extLst>
    </bk>
    <bk>
      <extLst>
        <ext uri="{3e2802c4-a4d2-4d8b-9148-e3be6c30e623}">
          <xlrd:rvb i="1003"/>
        </ext>
      </extLst>
    </bk>
    <bk>
      <extLst>
        <ext uri="{3e2802c4-a4d2-4d8b-9148-e3be6c30e623}">
          <xlrd:rvb i="1004"/>
        </ext>
      </extLst>
    </bk>
    <bk>
      <extLst>
        <ext uri="{3e2802c4-a4d2-4d8b-9148-e3be6c30e623}">
          <xlrd:rvb i="1005"/>
        </ext>
      </extLst>
    </bk>
    <bk>
      <extLst>
        <ext uri="{3e2802c4-a4d2-4d8b-9148-e3be6c30e623}">
          <xlrd:rvb i="1006"/>
        </ext>
      </extLst>
    </bk>
    <bk>
      <extLst>
        <ext uri="{3e2802c4-a4d2-4d8b-9148-e3be6c30e623}">
          <xlrd:rvb i="1007"/>
        </ext>
      </extLst>
    </bk>
    <bk>
      <extLst>
        <ext uri="{3e2802c4-a4d2-4d8b-9148-e3be6c30e623}">
          <xlrd:rvb i="1008"/>
        </ext>
      </extLst>
    </bk>
    <bk>
      <extLst>
        <ext uri="{3e2802c4-a4d2-4d8b-9148-e3be6c30e623}">
          <xlrd:rvb i="1009"/>
        </ext>
      </extLst>
    </bk>
    <bk>
      <extLst>
        <ext uri="{3e2802c4-a4d2-4d8b-9148-e3be6c30e623}">
          <xlrd:rvb i="1010"/>
        </ext>
      </extLst>
    </bk>
    <bk>
      <extLst>
        <ext uri="{3e2802c4-a4d2-4d8b-9148-e3be6c30e623}">
          <xlrd:rvb i="1011"/>
        </ext>
      </extLst>
    </bk>
    <bk>
      <extLst>
        <ext uri="{3e2802c4-a4d2-4d8b-9148-e3be6c30e623}">
          <xlrd:rvb i="1012"/>
        </ext>
      </extLst>
    </bk>
    <bk>
      <extLst>
        <ext uri="{3e2802c4-a4d2-4d8b-9148-e3be6c30e623}">
          <xlrd:rvb i="1013"/>
        </ext>
      </extLst>
    </bk>
    <bk>
      <extLst>
        <ext uri="{3e2802c4-a4d2-4d8b-9148-e3be6c30e623}">
          <xlrd:rvb i="1014"/>
        </ext>
      </extLst>
    </bk>
    <bk>
      <extLst>
        <ext uri="{3e2802c4-a4d2-4d8b-9148-e3be6c30e623}">
          <xlrd:rvb i="1015"/>
        </ext>
      </extLst>
    </bk>
    <bk>
      <extLst>
        <ext uri="{3e2802c4-a4d2-4d8b-9148-e3be6c30e623}">
          <xlrd:rvb i="1016"/>
        </ext>
      </extLst>
    </bk>
    <bk>
      <extLst>
        <ext uri="{3e2802c4-a4d2-4d8b-9148-e3be6c30e623}">
          <xlrd:rvb i="1017"/>
        </ext>
      </extLst>
    </bk>
    <bk>
      <extLst>
        <ext uri="{3e2802c4-a4d2-4d8b-9148-e3be6c30e623}">
          <xlrd:rvb i="1018"/>
        </ext>
      </extLst>
    </bk>
    <bk>
      <extLst>
        <ext uri="{3e2802c4-a4d2-4d8b-9148-e3be6c30e623}">
          <xlrd:rvb i="1019"/>
        </ext>
      </extLst>
    </bk>
    <bk>
      <extLst>
        <ext uri="{3e2802c4-a4d2-4d8b-9148-e3be6c30e623}">
          <xlrd:rvb i="1020"/>
        </ext>
      </extLst>
    </bk>
    <bk>
      <extLst>
        <ext uri="{3e2802c4-a4d2-4d8b-9148-e3be6c30e623}">
          <xlrd:rvb i="1021"/>
        </ext>
      </extLst>
    </bk>
    <bk>
      <extLst>
        <ext uri="{3e2802c4-a4d2-4d8b-9148-e3be6c30e623}">
          <xlrd:rvb i="1022"/>
        </ext>
      </extLst>
    </bk>
    <bk>
      <extLst>
        <ext uri="{3e2802c4-a4d2-4d8b-9148-e3be6c30e623}">
          <xlrd:rvb i="1023"/>
        </ext>
      </extLst>
    </bk>
    <bk>
      <extLst>
        <ext uri="{3e2802c4-a4d2-4d8b-9148-e3be6c30e623}">
          <xlrd:rvb i="1024"/>
        </ext>
      </extLst>
    </bk>
    <bk>
      <extLst>
        <ext uri="{3e2802c4-a4d2-4d8b-9148-e3be6c30e623}">
          <xlrd:rvb i="1025"/>
        </ext>
      </extLst>
    </bk>
    <bk>
      <extLst>
        <ext uri="{3e2802c4-a4d2-4d8b-9148-e3be6c30e623}">
          <xlrd:rvb i="1026"/>
        </ext>
      </extLst>
    </bk>
    <bk>
      <extLst>
        <ext uri="{3e2802c4-a4d2-4d8b-9148-e3be6c30e623}">
          <xlrd:rvb i="1027"/>
        </ext>
      </extLst>
    </bk>
    <bk>
      <extLst>
        <ext uri="{3e2802c4-a4d2-4d8b-9148-e3be6c30e623}">
          <xlrd:rvb i="1028"/>
        </ext>
      </extLst>
    </bk>
    <bk>
      <extLst>
        <ext uri="{3e2802c4-a4d2-4d8b-9148-e3be6c30e623}">
          <xlrd:rvb i="1029"/>
        </ext>
      </extLst>
    </bk>
    <bk>
      <extLst>
        <ext uri="{3e2802c4-a4d2-4d8b-9148-e3be6c30e623}">
          <xlrd:rvb i="1030"/>
        </ext>
      </extLst>
    </bk>
    <bk>
      <extLst>
        <ext uri="{3e2802c4-a4d2-4d8b-9148-e3be6c30e623}">
          <xlrd:rvb i="1031"/>
        </ext>
      </extLst>
    </bk>
    <bk>
      <extLst>
        <ext uri="{3e2802c4-a4d2-4d8b-9148-e3be6c30e623}">
          <xlrd:rvb i="1032"/>
        </ext>
      </extLst>
    </bk>
    <bk>
      <extLst>
        <ext uri="{3e2802c4-a4d2-4d8b-9148-e3be6c30e623}">
          <xlrd:rvb i="1033"/>
        </ext>
      </extLst>
    </bk>
    <bk>
      <extLst>
        <ext uri="{3e2802c4-a4d2-4d8b-9148-e3be6c30e623}">
          <xlrd:rvb i="1034"/>
        </ext>
      </extLst>
    </bk>
    <bk>
      <extLst>
        <ext uri="{3e2802c4-a4d2-4d8b-9148-e3be6c30e623}">
          <xlrd:rvb i="1035"/>
        </ext>
      </extLst>
    </bk>
    <bk>
      <extLst>
        <ext uri="{3e2802c4-a4d2-4d8b-9148-e3be6c30e623}">
          <xlrd:rvb i="1036"/>
        </ext>
      </extLst>
    </bk>
    <bk>
      <extLst>
        <ext uri="{3e2802c4-a4d2-4d8b-9148-e3be6c30e623}">
          <xlrd:rvb i="1037"/>
        </ext>
      </extLst>
    </bk>
    <bk>
      <extLst>
        <ext uri="{3e2802c4-a4d2-4d8b-9148-e3be6c30e623}">
          <xlrd:rvb i="1038"/>
        </ext>
      </extLst>
    </bk>
    <bk>
      <extLst>
        <ext uri="{3e2802c4-a4d2-4d8b-9148-e3be6c30e623}">
          <xlrd:rvb i="1039"/>
        </ext>
      </extLst>
    </bk>
    <bk>
      <extLst>
        <ext uri="{3e2802c4-a4d2-4d8b-9148-e3be6c30e623}">
          <xlrd:rvb i="1040"/>
        </ext>
      </extLst>
    </bk>
    <bk>
      <extLst>
        <ext uri="{3e2802c4-a4d2-4d8b-9148-e3be6c30e623}">
          <xlrd:rvb i="1041"/>
        </ext>
      </extLst>
    </bk>
    <bk>
      <extLst>
        <ext uri="{3e2802c4-a4d2-4d8b-9148-e3be6c30e623}">
          <xlrd:rvb i="1042"/>
        </ext>
      </extLst>
    </bk>
    <bk>
      <extLst>
        <ext uri="{3e2802c4-a4d2-4d8b-9148-e3be6c30e623}">
          <xlrd:rvb i="1043"/>
        </ext>
      </extLst>
    </bk>
    <bk>
      <extLst>
        <ext uri="{3e2802c4-a4d2-4d8b-9148-e3be6c30e623}">
          <xlrd:rvb i="1044"/>
        </ext>
      </extLst>
    </bk>
    <bk>
      <extLst>
        <ext uri="{3e2802c4-a4d2-4d8b-9148-e3be6c30e623}">
          <xlrd:rvb i="1045"/>
        </ext>
      </extLst>
    </bk>
    <bk>
      <extLst>
        <ext uri="{3e2802c4-a4d2-4d8b-9148-e3be6c30e623}">
          <xlrd:rvb i="1046"/>
        </ext>
      </extLst>
    </bk>
    <bk>
      <extLst>
        <ext uri="{3e2802c4-a4d2-4d8b-9148-e3be6c30e623}">
          <xlrd:rvb i="1047"/>
        </ext>
      </extLst>
    </bk>
    <bk>
      <extLst>
        <ext uri="{3e2802c4-a4d2-4d8b-9148-e3be6c30e623}">
          <xlrd:rvb i="1048"/>
        </ext>
      </extLst>
    </bk>
    <bk>
      <extLst>
        <ext uri="{3e2802c4-a4d2-4d8b-9148-e3be6c30e623}">
          <xlrd:rvb i="1049"/>
        </ext>
      </extLst>
    </bk>
    <bk>
      <extLst>
        <ext uri="{3e2802c4-a4d2-4d8b-9148-e3be6c30e623}">
          <xlrd:rvb i="1050"/>
        </ext>
      </extLst>
    </bk>
    <bk>
      <extLst>
        <ext uri="{3e2802c4-a4d2-4d8b-9148-e3be6c30e623}">
          <xlrd:rvb i="1051"/>
        </ext>
      </extLst>
    </bk>
    <bk>
      <extLst>
        <ext uri="{3e2802c4-a4d2-4d8b-9148-e3be6c30e623}">
          <xlrd:rvb i="1052"/>
        </ext>
      </extLst>
    </bk>
    <bk>
      <extLst>
        <ext uri="{3e2802c4-a4d2-4d8b-9148-e3be6c30e623}">
          <xlrd:rvb i="1053"/>
        </ext>
      </extLst>
    </bk>
    <bk>
      <extLst>
        <ext uri="{3e2802c4-a4d2-4d8b-9148-e3be6c30e623}">
          <xlrd:rvb i="1054"/>
        </ext>
      </extLst>
    </bk>
    <bk>
      <extLst>
        <ext uri="{3e2802c4-a4d2-4d8b-9148-e3be6c30e623}">
          <xlrd:rvb i="1055"/>
        </ext>
      </extLst>
    </bk>
    <bk>
      <extLst>
        <ext uri="{3e2802c4-a4d2-4d8b-9148-e3be6c30e623}">
          <xlrd:rvb i="1056"/>
        </ext>
      </extLst>
    </bk>
    <bk>
      <extLst>
        <ext uri="{3e2802c4-a4d2-4d8b-9148-e3be6c30e623}">
          <xlrd:rvb i="1057"/>
        </ext>
      </extLst>
    </bk>
    <bk>
      <extLst>
        <ext uri="{3e2802c4-a4d2-4d8b-9148-e3be6c30e623}">
          <xlrd:rvb i="1058"/>
        </ext>
      </extLst>
    </bk>
    <bk>
      <extLst>
        <ext uri="{3e2802c4-a4d2-4d8b-9148-e3be6c30e623}">
          <xlrd:rvb i="1059"/>
        </ext>
      </extLst>
    </bk>
    <bk>
      <extLst>
        <ext uri="{3e2802c4-a4d2-4d8b-9148-e3be6c30e623}">
          <xlrd:rvb i="1060"/>
        </ext>
      </extLst>
    </bk>
    <bk>
      <extLst>
        <ext uri="{3e2802c4-a4d2-4d8b-9148-e3be6c30e623}">
          <xlrd:rvb i="1061"/>
        </ext>
      </extLst>
    </bk>
    <bk>
      <extLst>
        <ext uri="{3e2802c4-a4d2-4d8b-9148-e3be6c30e623}">
          <xlrd:rvb i="1062"/>
        </ext>
      </extLst>
    </bk>
    <bk>
      <extLst>
        <ext uri="{3e2802c4-a4d2-4d8b-9148-e3be6c30e623}">
          <xlrd:rvb i="1063"/>
        </ext>
      </extLst>
    </bk>
    <bk>
      <extLst>
        <ext uri="{3e2802c4-a4d2-4d8b-9148-e3be6c30e623}">
          <xlrd:rvb i="1064"/>
        </ext>
      </extLst>
    </bk>
    <bk>
      <extLst>
        <ext uri="{3e2802c4-a4d2-4d8b-9148-e3be6c30e623}">
          <xlrd:rvb i="1065"/>
        </ext>
      </extLst>
    </bk>
    <bk>
      <extLst>
        <ext uri="{3e2802c4-a4d2-4d8b-9148-e3be6c30e623}">
          <xlrd:rvb i="1066"/>
        </ext>
      </extLst>
    </bk>
    <bk>
      <extLst>
        <ext uri="{3e2802c4-a4d2-4d8b-9148-e3be6c30e623}">
          <xlrd:rvb i="1067"/>
        </ext>
      </extLst>
    </bk>
    <bk>
      <extLst>
        <ext uri="{3e2802c4-a4d2-4d8b-9148-e3be6c30e623}">
          <xlrd:rvb i="1068"/>
        </ext>
      </extLst>
    </bk>
    <bk>
      <extLst>
        <ext uri="{3e2802c4-a4d2-4d8b-9148-e3be6c30e623}">
          <xlrd:rvb i="1069"/>
        </ext>
      </extLst>
    </bk>
    <bk>
      <extLst>
        <ext uri="{3e2802c4-a4d2-4d8b-9148-e3be6c30e623}">
          <xlrd:rvb i="1070"/>
        </ext>
      </extLst>
    </bk>
    <bk>
      <extLst>
        <ext uri="{3e2802c4-a4d2-4d8b-9148-e3be6c30e623}">
          <xlrd:rvb i="1071"/>
        </ext>
      </extLst>
    </bk>
    <bk>
      <extLst>
        <ext uri="{3e2802c4-a4d2-4d8b-9148-e3be6c30e623}">
          <xlrd:rvb i="1072"/>
        </ext>
      </extLst>
    </bk>
    <bk>
      <extLst>
        <ext uri="{3e2802c4-a4d2-4d8b-9148-e3be6c30e623}">
          <xlrd:rvb i="1073"/>
        </ext>
      </extLst>
    </bk>
    <bk>
      <extLst>
        <ext uri="{3e2802c4-a4d2-4d8b-9148-e3be6c30e623}">
          <xlrd:rvb i="1074"/>
        </ext>
      </extLst>
    </bk>
    <bk>
      <extLst>
        <ext uri="{3e2802c4-a4d2-4d8b-9148-e3be6c30e623}">
          <xlrd:rvb i="1075"/>
        </ext>
      </extLst>
    </bk>
    <bk>
      <extLst>
        <ext uri="{3e2802c4-a4d2-4d8b-9148-e3be6c30e623}">
          <xlrd:rvb i="1076"/>
        </ext>
      </extLst>
    </bk>
    <bk>
      <extLst>
        <ext uri="{3e2802c4-a4d2-4d8b-9148-e3be6c30e623}">
          <xlrd:rvb i="1077"/>
        </ext>
      </extLst>
    </bk>
    <bk>
      <extLst>
        <ext uri="{3e2802c4-a4d2-4d8b-9148-e3be6c30e623}">
          <xlrd:rvb i="1078"/>
        </ext>
      </extLst>
    </bk>
    <bk>
      <extLst>
        <ext uri="{3e2802c4-a4d2-4d8b-9148-e3be6c30e623}">
          <xlrd:rvb i="1079"/>
        </ext>
      </extLst>
    </bk>
    <bk>
      <extLst>
        <ext uri="{3e2802c4-a4d2-4d8b-9148-e3be6c30e623}">
          <xlrd:rvb i="1080"/>
        </ext>
      </extLst>
    </bk>
    <bk>
      <extLst>
        <ext uri="{3e2802c4-a4d2-4d8b-9148-e3be6c30e623}">
          <xlrd:rvb i="1081"/>
        </ext>
      </extLst>
    </bk>
    <bk>
      <extLst>
        <ext uri="{3e2802c4-a4d2-4d8b-9148-e3be6c30e623}">
          <xlrd:rvb i="1082"/>
        </ext>
      </extLst>
    </bk>
    <bk>
      <extLst>
        <ext uri="{3e2802c4-a4d2-4d8b-9148-e3be6c30e623}">
          <xlrd:rvb i="1083"/>
        </ext>
      </extLst>
    </bk>
    <bk>
      <extLst>
        <ext uri="{3e2802c4-a4d2-4d8b-9148-e3be6c30e623}">
          <xlrd:rvb i="1084"/>
        </ext>
      </extLst>
    </bk>
    <bk>
      <extLst>
        <ext uri="{3e2802c4-a4d2-4d8b-9148-e3be6c30e623}">
          <xlrd:rvb i="1085"/>
        </ext>
      </extLst>
    </bk>
    <bk>
      <extLst>
        <ext uri="{3e2802c4-a4d2-4d8b-9148-e3be6c30e623}">
          <xlrd:rvb i="1086"/>
        </ext>
      </extLst>
    </bk>
    <bk>
      <extLst>
        <ext uri="{3e2802c4-a4d2-4d8b-9148-e3be6c30e623}">
          <xlrd:rvb i="1087"/>
        </ext>
      </extLst>
    </bk>
    <bk>
      <extLst>
        <ext uri="{3e2802c4-a4d2-4d8b-9148-e3be6c30e623}">
          <xlrd:rvb i="1088"/>
        </ext>
      </extLst>
    </bk>
    <bk>
      <extLst>
        <ext uri="{3e2802c4-a4d2-4d8b-9148-e3be6c30e623}">
          <xlrd:rvb i="1089"/>
        </ext>
      </extLst>
    </bk>
    <bk>
      <extLst>
        <ext uri="{3e2802c4-a4d2-4d8b-9148-e3be6c30e623}">
          <xlrd:rvb i="1090"/>
        </ext>
      </extLst>
    </bk>
    <bk>
      <extLst>
        <ext uri="{3e2802c4-a4d2-4d8b-9148-e3be6c30e623}">
          <xlrd:rvb i="1091"/>
        </ext>
      </extLst>
    </bk>
    <bk>
      <extLst>
        <ext uri="{3e2802c4-a4d2-4d8b-9148-e3be6c30e623}">
          <xlrd:rvb i="1092"/>
        </ext>
      </extLst>
    </bk>
    <bk>
      <extLst>
        <ext uri="{3e2802c4-a4d2-4d8b-9148-e3be6c30e623}">
          <xlrd:rvb i="1093"/>
        </ext>
      </extLst>
    </bk>
    <bk>
      <extLst>
        <ext uri="{3e2802c4-a4d2-4d8b-9148-e3be6c30e623}">
          <xlrd:rvb i="1094"/>
        </ext>
      </extLst>
    </bk>
    <bk>
      <extLst>
        <ext uri="{3e2802c4-a4d2-4d8b-9148-e3be6c30e623}">
          <xlrd:rvb i="1095"/>
        </ext>
      </extLst>
    </bk>
    <bk>
      <extLst>
        <ext uri="{3e2802c4-a4d2-4d8b-9148-e3be6c30e623}">
          <xlrd:rvb i="1096"/>
        </ext>
      </extLst>
    </bk>
    <bk>
      <extLst>
        <ext uri="{3e2802c4-a4d2-4d8b-9148-e3be6c30e623}">
          <xlrd:rvb i="1097"/>
        </ext>
      </extLst>
    </bk>
    <bk>
      <extLst>
        <ext uri="{3e2802c4-a4d2-4d8b-9148-e3be6c30e623}">
          <xlrd:rvb i="1098"/>
        </ext>
      </extLst>
    </bk>
    <bk>
      <extLst>
        <ext uri="{3e2802c4-a4d2-4d8b-9148-e3be6c30e623}">
          <xlrd:rvb i="1099"/>
        </ext>
      </extLst>
    </bk>
    <bk>
      <extLst>
        <ext uri="{3e2802c4-a4d2-4d8b-9148-e3be6c30e623}">
          <xlrd:rvb i="1100"/>
        </ext>
      </extLst>
    </bk>
    <bk>
      <extLst>
        <ext uri="{3e2802c4-a4d2-4d8b-9148-e3be6c30e623}">
          <xlrd:rvb i="1101"/>
        </ext>
      </extLst>
    </bk>
    <bk>
      <extLst>
        <ext uri="{3e2802c4-a4d2-4d8b-9148-e3be6c30e623}">
          <xlrd:rvb i="1102"/>
        </ext>
      </extLst>
    </bk>
    <bk>
      <extLst>
        <ext uri="{3e2802c4-a4d2-4d8b-9148-e3be6c30e623}">
          <xlrd:rvb i="1103"/>
        </ext>
      </extLst>
    </bk>
    <bk>
      <extLst>
        <ext uri="{3e2802c4-a4d2-4d8b-9148-e3be6c30e623}">
          <xlrd:rvb i="1104"/>
        </ext>
      </extLst>
    </bk>
    <bk>
      <extLst>
        <ext uri="{3e2802c4-a4d2-4d8b-9148-e3be6c30e623}">
          <xlrd:rvb i="1105"/>
        </ext>
      </extLst>
    </bk>
    <bk>
      <extLst>
        <ext uri="{3e2802c4-a4d2-4d8b-9148-e3be6c30e623}">
          <xlrd:rvb i="1106"/>
        </ext>
      </extLst>
    </bk>
    <bk>
      <extLst>
        <ext uri="{3e2802c4-a4d2-4d8b-9148-e3be6c30e623}">
          <xlrd:rvb i="1107"/>
        </ext>
      </extLst>
    </bk>
    <bk>
      <extLst>
        <ext uri="{3e2802c4-a4d2-4d8b-9148-e3be6c30e623}">
          <xlrd:rvb i="1108"/>
        </ext>
      </extLst>
    </bk>
    <bk>
      <extLst>
        <ext uri="{3e2802c4-a4d2-4d8b-9148-e3be6c30e623}">
          <xlrd:rvb i="1109"/>
        </ext>
      </extLst>
    </bk>
    <bk>
      <extLst>
        <ext uri="{3e2802c4-a4d2-4d8b-9148-e3be6c30e623}">
          <xlrd:rvb i="1110"/>
        </ext>
      </extLst>
    </bk>
    <bk>
      <extLst>
        <ext uri="{3e2802c4-a4d2-4d8b-9148-e3be6c30e623}">
          <xlrd:rvb i="1111"/>
        </ext>
      </extLst>
    </bk>
    <bk>
      <extLst>
        <ext uri="{3e2802c4-a4d2-4d8b-9148-e3be6c30e623}">
          <xlrd:rvb i="1112"/>
        </ext>
      </extLst>
    </bk>
    <bk>
      <extLst>
        <ext uri="{3e2802c4-a4d2-4d8b-9148-e3be6c30e623}">
          <xlrd:rvb i="1113"/>
        </ext>
      </extLst>
    </bk>
    <bk>
      <extLst>
        <ext uri="{3e2802c4-a4d2-4d8b-9148-e3be6c30e623}">
          <xlrd:rvb i="1114"/>
        </ext>
      </extLst>
    </bk>
    <bk>
      <extLst>
        <ext uri="{3e2802c4-a4d2-4d8b-9148-e3be6c30e623}">
          <xlrd:rvb i="1115"/>
        </ext>
      </extLst>
    </bk>
    <bk>
      <extLst>
        <ext uri="{3e2802c4-a4d2-4d8b-9148-e3be6c30e623}">
          <xlrd:rvb i="1116"/>
        </ext>
      </extLst>
    </bk>
    <bk>
      <extLst>
        <ext uri="{3e2802c4-a4d2-4d8b-9148-e3be6c30e623}">
          <xlrd:rvb i="1117"/>
        </ext>
      </extLst>
    </bk>
    <bk>
      <extLst>
        <ext uri="{3e2802c4-a4d2-4d8b-9148-e3be6c30e623}">
          <xlrd:rvb i="1118"/>
        </ext>
      </extLst>
    </bk>
    <bk>
      <extLst>
        <ext uri="{3e2802c4-a4d2-4d8b-9148-e3be6c30e623}">
          <xlrd:rvb i="1119"/>
        </ext>
      </extLst>
    </bk>
    <bk>
      <extLst>
        <ext uri="{3e2802c4-a4d2-4d8b-9148-e3be6c30e623}">
          <xlrd:rvb i="1120"/>
        </ext>
      </extLst>
    </bk>
    <bk>
      <extLst>
        <ext uri="{3e2802c4-a4d2-4d8b-9148-e3be6c30e623}">
          <xlrd:rvb i="1121"/>
        </ext>
      </extLst>
    </bk>
    <bk>
      <extLst>
        <ext uri="{3e2802c4-a4d2-4d8b-9148-e3be6c30e623}">
          <xlrd:rvb i="1122"/>
        </ext>
      </extLst>
    </bk>
    <bk>
      <extLst>
        <ext uri="{3e2802c4-a4d2-4d8b-9148-e3be6c30e623}">
          <xlrd:rvb i="1123"/>
        </ext>
      </extLst>
    </bk>
    <bk>
      <extLst>
        <ext uri="{3e2802c4-a4d2-4d8b-9148-e3be6c30e623}">
          <xlrd:rvb i="1124"/>
        </ext>
      </extLst>
    </bk>
    <bk>
      <extLst>
        <ext uri="{3e2802c4-a4d2-4d8b-9148-e3be6c30e623}">
          <xlrd:rvb i="1125"/>
        </ext>
      </extLst>
    </bk>
    <bk>
      <extLst>
        <ext uri="{3e2802c4-a4d2-4d8b-9148-e3be6c30e623}">
          <xlrd:rvb i="1126"/>
        </ext>
      </extLst>
    </bk>
    <bk>
      <extLst>
        <ext uri="{3e2802c4-a4d2-4d8b-9148-e3be6c30e623}">
          <xlrd:rvb i="1127"/>
        </ext>
      </extLst>
    </bk>
    <bk>
      <extLst>
        <ext uri="{3e2802c4-a4d2-4d8b-9148-e3be6c30e623}">
          <xlrd:rvb i="1128"/>
        </ext>
      </extLst>
    </bk>
    <bk>
      <extLst>
        <ext uri="{3e2802c4-a4d2-4d8b-9148-e3be6c30e623}">
          <xlrd:rvb i="1129"/>
        </ext>
      </extLst>
    </bk>
    <bk>
      <extLst>
        <ext uri="{3e2802c4-a4d2-4d8b-9148-e3be6c30e623}">
          <xlrd:rvb i="1130"/>
        </ext>
      </extLst>
    </bk>
    <bk>
      <extLst>
        <ext uri="{3e2802c4-a4d2-4d8b-9148-e3be6c30e623}">
          <xlrd:rvb i="1131"/>
        </ext>
      </extLst>
    </bk>
    <bk>
      <extLst>
        <ext uri="{3e2802c4-a4d2-4d8b-9148-e3be6c30e623}">
          <xlrd:rvb i="1132"/>
        </ext>
      </extLst>
    </bk>
    <bk>
      <extLst>
        <ext uri="{3e2802c4-a4d2-4d8b-9148-e3be6c30e623}">
          <xlrd:rvb i="1133"/>
        </ext>
      </extLst>
    </bk>
    <bk>
      <extLst>
        <ext uri="{3e2802c4-a4d2-4d8b-9148-e3be6c30e623}">
          <xlrd:rvb i="1134"/>
        </ext>
      </extLst>
    </bk>
    <bk>
      <extLst>
        <ext uri="{3e2802c4-a4d2-4d8b-9148-e3be6c30e623}">
          <xlrd:rvb i="1135"/>
        </ext>
      </extLst>
    </bk>
    <bk>
      <extLst>
        <ext uri="{3e2802c4-a4d2-4d8b-9148-e3be6c30e623}">
          <xlrd:rvb i="1136"/>
        </ext>
      </extLst>
    </bk>
    <bk>
      <extLst>
        <ext uri="{3e2802c4-a4d2-4d8b-9148-e3be6c30e623}">
          <xlrd:rvb i="1137"/>
        </ext>
      </extLst>
    </bk>
    <bk>
      <extLst>
        <ext uri="{3e2802c4-a4d2-4d8b-9148-e3be6c30e623}">
          <xlrd:rvb i="1138"/>
        </ext>
      </extLst>
    </bk>
    <bk>
      <extLst>
        <ext uri="{3e2802c4-a4d2-4d8b-9148-e3be6c30e623}">
          <xlrd:rvb i="1139"/>
        </ext>
      </extLst>
    </bk>
    <bk>
      <extLst>
        <ext uri="{3e2802c4-a4d2-4d8b-9148-e3be6c30e623}">
          <xlrd:rvb i="1140"/>
        </ext>
      </extLst>
    </bk>
    <bk>
      <extLst>
        <ext uri="{3e2802c4-a4d2-4d8b-9148-e3be6c30e623}">
          <xlrd:rvb i="1141"/>
        </ext>
      </extLst>
    </bk>
    <bk>
      <extLst>
        <ext uri="{3e2802c4-a4d2-4d8b-9148-e3be6c30e623}">
          <xlrd:rvb i="1142"/>
        </ext>
      </extLst>
    </bk>
    <bk>
      <extLst>
        <ext uri="{3e2802c4-a4d2-4d8b-9148-e3be6c30e623}">
          <xlrd:rvb i="1143"/>
        </ext>
      </extLst>
    </bk>
    <bk>
      <extLst>
        <ext uri="{3e2802c4-a4d2-4d8b-9148-e3be6c30e623}">
          <xlrd:rvb i="1144"/>
        </ext>
      </extLst>
    </bk>
    <bk>
      <extLst>
        <ext uri="{3e2802c4-a4d2-4d8b-9148-e3be6c30e623}">
          <xlrd:rvb i="1145"/>
        </ext>
      </extLst>
    </bk>
    <bk>
      <extLst>
        <ext uri="{3e2802c4-a4d2-4d8b-9148-e3be6c30e623}">
          <xlrd:rvb i="1146"/>
        </ext>
      </extLst>
    </bk>
    <bk>
      <extLst>
        <ext uri="{3e2802c4-a4d2-4d8b-9148-e3be6c30e623}">
          <xlrd:rvb i="1147"/>
        </ext>
      </extLst>
    </bk>
    <bk>
      <extLst>
        <ext uri="{3e2802c4-a4d2-4d8b-9148-e3be6c30e623}">
          <xlrd:rvb i="1148"/>
        </ext>
      </extLst>
    </bk>
    <bk>
      <extLst>
        <ext uri="{3e2802c4-a4d2-4d8b-9148-e3be6c30e623}">
          <xlrd:rvb i="1149"/>
        </ext>
      </extLst>
    </bk>
    <bk>
      <extLst>
        <ext uri="{3e2802c4-a4d2-4d8b-9148-e3be6c30e623}">
          <xlrd:rvb i="1150"/>
        </ext>
      </extLst>
    </bk>
    <bk>
      <extLst>
        <ext uri="{3e2802c4-a4d2-4d8b-9148-e3be6c30e623}">
          <xlrd:rvb i="1151"/>
        </ext>
      </extLst>
    </bk>
    <bk>
      <extLst>
        <ext uri="{3e2802c4-a4d2-4d8b-9148-e3be6c30e623}">
          <xlrd:rvb i="1152"/>
        </ext>
      </extLst>
    </bk>
    <bk>
      <extLst>
        <ext uri="{3e2802c4-a4d2-4d8b-9148-e3be6c30e623}">
          <xlrd:rvb i="1153"/>
        </ext>
      </extLst>
    </bk>
    <bk>
      <extLst>
        <ext uri="{3e2802c4-a4d2-4d8b-9148-e3be6c30e623}">
          <xlrd:rvb i="1154"/>
        </ext>
      </extLst>
    </bk>
    <bk>
      <extLst>
        <ext uri="{3e2802c4-a4d2-4d8b-9148-e3be6c30e623}">
          <xlrd:rvb i="1155"/>
        </ext>
      </extLst>
    </bk>
    <bk>
      <extLst>
        <ext uri="{3e2802c4-a4d2-4d8b-9148-e3be6c30e623}">
          <xlrd:rvb i="1156"/>
        </ext>
      </extLst>
    </bk>
    <bk>
      <extLst>
        <ext uri="{3e2802c4-a4d2-4d8b-9148-e3be6c30e623}">
          <xlrd:rvb i="1157"/>
        </ext>
      </extLst>
    </bk>
    <bk>
      <extLst>
        <ext uri="{3e2802c4-a4d2-4d8b-9148-e3be6c30e623}">
          <xlrd:rvb i="1158"/>
        </ext>
      </extLst>
    </bk>
    <bk>
      <extLst>
        <ext uri="{3e2802c4-a4d2-4d8b-9148-e3be6c30e623}">
          <xlrd:rvb i="1159"/>
        </ext>
      </extLst>
    </bk>
    <bk>
      <extLst>
        <ext uri="{3e2802c4-a4d2-4d8b-9148-e3be6c30e623}">
          <xlrd:rvb i="1160"/>
        </ext>
      </extLst>
    </bk>
    <bk>
      <extLst>
        <ext uri="{3e2802c4-a4d2-4d8b-9148-e3be6c30e623}">
          <xlrd:rvb i="1161"/>
        </ext>
      </extLst>
    </bk>
    <bk>
      <extLst>
        <ext uri="{3e2802c4-a4d2-4d8b-9148-e3be6c30e623}">
          <xlrd:rvb i="1162"/>
        </ext>
      </extLst>
    </bk>
    <bk>
      <extLst>
        <ext uri="{3e2802c4-a4d2-4d8b-9148-e3be6c30e623}">
          <xlrd:rvb i="1163"/>
        </ext>
      </extLst>
    </bk>
    <bk>
      <extLst>
        <ext uri="{3e2802c4-a4d2-4d8b-9148-e3be6c30e623}">
          <xlrd:rvb i="1164"/>
        </ext>
      </extLst>
    </bk>
    <bk>
      <extLst>
        <ext uri="{3e2802c4-a4d2-4d8b-9148-e3be6c30e623}">
          <xlrd:rvb i="1165"/>
        </ext>
      </extLst>
    </bk>
    <bk>
      <extLst>
        <ext uri="{3e2802c4-a4d2-4d8b-9148-e3be6c30e623}">
          <xlrd:rvb i="1166"/>
        </ext>
      </extLst>
    </bk>
    <bk>
      <extLst>
        <ext uri="{3e2802c4-a4d2-4d8b-9148-e3be6c30e623}">
          <xlrd:rvb i="1167"/>
        </ext>
      </extLst>
    </bk>
    <bk>
      <extLst>
        <ext uri="{3e2802c4-a4d2-4d8b-9148-e3be6c30e623}">
          <xlrd:rvb i="1168"/>
        </ext>
      </extLst>
    </bk>
    <bk>
      <extLst>
        <ext uri="{3e2802c4-a4d2-4d8b-9148-e3be6c30e623}">
          <xlrd:rvb i="1169"/>
        </ext>
      </extLst>
    </bk>
    <bk>
      <extLst>
        <ext uri="{3e2802c4-a4d2-4d8b-9148-e3be6c30e623}">
          <xlrd:rvb i="1170"/>
        </ext>
      </extLst>
    </bk>
    <bk>
      <extLst>
        <ext uri="{3e2802c4-a4d2-4d8b-9148-e3be6c30e623}">
          <xlrd:rvb i="1171"/>
        </ext>
      </extLst>
    </bk>
    <bk>
      <extLst>
        <ext uri="{3e2802c4-a4d2-4d8b-9148-e3be6c30e623}">
          <xlrd:rvb i="1172"/>
        </ext>
      </extLst>
    </bk>
    <bk>
      <extLst>
        <ext uri="{3e2802c4-a4d2-4d8b-9148-e3be6c30e623}">
          <xlrd:rvb i="1173"/>
        </ext>
      </extLst>
    </bk>
    <bk>
      <extLst>
        <ext uri="{3e2802c4-a4d2-4d8b-9148-e3be6c30e623}">
          <xlrd:rvb i="1174"/>
        </ext>
      </extLst>
    </bk>
    <bk>
      <extLst>
        <ext uri="{3e2802c4-a4d2-4d8b-9148-e3be6c30e623}">
          <xlrd:rvb i="1175"/>
        </ext>
      </extLst>
    </bk>
    <bk>
      <extLst>
        <ext uri="{3e2802c4-a4d2-4d8b-9148-e3be6c30e623}">
          <xlrd:rvb i="1176"/>
        </ext>
      </extLst>
    </bk>
    <bk>
      <extLst>
        <ext uri="{3e2802c4-a4d2-4d8b-9148-e3be6c30e623}">
          <xlrd:rvb i="1177"/>
        </ext>
      </extLst>
    </bk>
    <bk>
      <extLst>
        <ext uri="{3e2802c4-a4d2-4d8b-9148-e3be6c30e623}">
          <xlrd:rvb i="1178"/>
        </ext>
      </extLst>
    </bk>
    <bk>
      <extLst>
        <ext uri="{3e2802c4-a4d2-4d8b-9148-e3be6c30e623}">
          <xlrd:rvb i="1179"/>
        </ext>
      </extLst>
    </bk>
    <bk>
      <extLst>
        <ext uri="{3e2802c4-a4d2-4d8b-9148-e3be6c30e623}">
          <xlrd:rvb i="1180"/>
        </ext>
      </extLst>
    </bk>
    <bk>
      <extLst>
        <ext uri="{3e2802c4-a4d2-4d8b-9148-e3be6c30e623}">
          <xlrd:rvb i="1181"/>
        </ext>
      </extLst>
    </bk>
    <bk>
      <extLst>
        <ext uri="{3e2802c4-a4d2-4d8b-9148-e3be6c30e623}">
          <xlrd:rvb i="1182"/>
        </ext>
      </extLst>
    </bk>
    <bk>
      <extLst>
        <ext uri="{3e2802c4-a4d2-4d8b-9148-e3be6c30e623}">
          <xlrd:rvb i="1183"/>
        </ext>
      </extLst>
    </bk>
    <bk>
      <extLst>
        <ext uri="{3e2802c4-a4d2-4d8b-9148-e3be6c30e623}">
          <xlrd:rvb i="1184"/>
        </ext>
      </extLst>
    </bk>
    <bk>
      <extLst>
        <ext uri="{3e2802c4-a4d2-4d8b-9148-e3be6c30e623}">
          <xlrd:rvb i="1185"/>
        </ext>
      </extLst>
    </bk>
    <bk>
      <extLst>
        <ext uri="{3e2802c4-a4d2-4d8b-9148-e3be6c30e623}">
          <xlrd:rvb i="1186"/>
        </ext>
      </extLst>
    </bk>
    <bk>
      <extLst>
        <ext uri="{3e2802c4-a4d2-4d8b-9148-e3be6c30e623}">
          <xlrd:rvb i="1187"/>
        </ext>
      </extLst>
    </bk>
    <bk>
      <extLst>
        <ext uri="{3e2802c4-a4d2-4d8b-9148-e3be6c30e623}">
          <xlrd:rvb i="1188"/>
        </ext>
      </extLst>
    </bk>
    <bk>
      <extLst>
        <ext uri="{3e2802c4-a4d2-4d8b-9148-e3be6c30e623}">
          <xlrd:rvb i="1189"/>
        </ext>
      </extLst>
    </bk>
    <bk>
      <extLst>
        <ext uri="{3e2802c4-a4d2-4d8b-9148-e3be6c30e623}">
          <xlrd:rvb i="1190"/>
        </ext>
      </extLst>
    </bk>
    <bk>
      <extLst>
        <ext uri="{3e2802c4-a4d2-4d8b-9148-e3be6c30e623}">
          <xlrd:rvb i="1191"/>
        </ext>
      </extLst>
    </bk>
    <bk>
      <extLst>
        <ext uri="{3e2802c4-a4d2-4d8b-9148-e3be6c30e623}">
          <xlrd:rvb i="1192"/>
        </ext>
      </extLst>
    </bk>
    <bk>
      <extLst>
        <ext uri="{3e2802c4-a4d2-4d8b-9148-e3be6c30e623}">
          <xlrd:rvb i="1193"/>
        </ext>
      </extLst>
    </bk>
    <bk>
      <extLst>
        <ext uri="{3e2802c4-a4d2-4d8b-9148-e3be6c30e623}">
          <xlrd:rvb i="1194"/>
        </ext>
      </extLst>
    </bk>
    <bk>
      <extLst>
        <ext uri="{3e2802c4-a4d2-4d8b-9148-e3be6c30e623}">
          <xlrd:rvb i="1195"/>
        </ext>
      </extLst>
    </bk>
    <bk>
      <extLst>
        <ext uri="{3e2802c4-a4d2-4d8b-9148-e3be6c30e623}">
          <xlrd:rvb i="1196"/>
        </ext>
      </extLst>
    </bk>
    <bk>
      <extLst>
        <ext uri="{3e2802c4-a4d2-4d8b-9148-e3be6c30e623}">
          <xlrd:rvb i="1197"/>
        </ext>
      </extLst>
    </bk>
    <bk>
      <extLst>
        <ext uri="{3e2802c4-a4d2-4d8b-9148-e3be6c30e623}">
          <xlrd:rvb i="1198"/>
        </ext>
      </extLst>
    </bk>
    <bk>
      <extLst>
        <ext uri="{3e2802c4-a4d2-4d8b-9148-e3be6c30e623}">
          <xlrd:rvb i="1199"/>
        </ext>
      </extLst>
    </bk>
    <bk>
      <extLst>
        <ext uri="{3e2802c4-a4d2-4d8b-9148-e3be6c30e623}">
          <xlrd:rvb i="1200"/>
        </ext>
      </extLst>
    </bk>
    <bk>
      <extLst>
        <ext uri="{3e2802c4-a4d2-4d8b-9148-e3be6c30e623}">
          <xlrd:rvb i="1201"/>
        </ext>
      </extLst>
    </bk>
    <bk>
      <extLst>
        <ext uri="{3e2802c4-a4d2-4d8b-9148-e3be6c30e623}">
          <xlrd:rvb i="1202"/>
        </ext>
      </extLst>
    </bk>
    <bk>
      <extLst>
        <ext uri="{3e2802c4-a4d2-4d8b-9148-e3be6c30e623}">
          <xlrd:rvb i="1203"/>
        </ext>
      </extLst>
    </bk>
    <bk>
      <extLst>
        <ext uri="{3e2802c4-a4d2-4d8b-9148-e3be6c30e623}">
          <xlrd:rvb i="1204"/>
        </ext>
      </extLst>
    </bk>
    <bk>
      <extLst>
        <ext uri="{3e2802c4-a4d2-4d8b-9148-e3be6c30e623}">
          <xlrd:rvb i="1205"/>
        </ext>
      </extLst>
    </bk>
    <bk>
      <extLst>
        <ext uri="{3e2802c4-a4d2-4d8b-9148-e3be6c30e623}">
          <xlrd:rvb i="1206"/>
        </ext>
      </extLst>
    </bk>
    <bk>
      <extLst>
        <ext uri="{3e2802c4-a4d2-4d8b-9148-e3be6c30e623}">
          <xlrd:rvb i="1207"/>
        </ext>
      </extLst>
    </bk>
    <bk>
      <extLst>
        <ext uri="{3e2802c4-a4d2-4d8b-9148-e3be6c30e623}">
          <xlrd:rvb i="1208"/>
        </ext>
      </extLst>
    </bk>
    <bk>
      <extLst>
        <ext uri="{3e2802c4-a4d2-4d8b-9148-e3be6c30e623}">
          <xlrd:rvb i="1209"/>
        </ext>
      </extLst>
    </bk>
    <bk>
      <extLst>
        <ext uri="{3e2802c4-a4d2-4d8b-9148-e3be6c30e623}">
          <xlrd:rvb i="1210"/>
        </ext>
      </extLst>
    </bk>
    <bk>
      <extLst>
        <ext uri="{3e2802c4-a4d2-4d8b-9148-e3be6c30e623}">
          <xlrd:rvb i="1211"/>
        </ext>
      </extLst>
    </bk>
    <bk>
      <extLst>
        <ext uri="{3e2802c4-a4d2-4d8b-9148-e3be6c30e623}">
          <xlrd:rvb i="1212"/>
        </ext>
      </extLst>
    </bk>
    <bk>
      <extLst>
        <ext uri="{3e2802c4-a4d2-4d8b-9148-e3be6c30e623}">
          <xlrd:rvb i="1213"/>
        </ext>
      </extLst>
    </bk>
    <bk>
      <extLst>
        <ext uri="{3e2802c4-a4d2-4d8b-9148-e3be6c30e623}">
          <xlrd:rvb i="1214"/>
        </ext>
      </extLst>
    </bk>
    <bk>
      <extLst>
        <ext uri="{3e2802c4-a4d2-4d8b-9148-e3be6c30e623}">
          <xlrd:rvb i="1215"/>
        </ext>
      </extLst>
    </bk>
    <bk>
      <extLst>
        <ext uri="{3e2802c4-a4d2-4d8b-9148-e3be6c30e623}">
          <xlrd:rvb i="1216"/>
        </ext>
      </extLst>
    </bk>
    <bk>
      <extLst>
        <ext uri="{3e2802c4-a4d2-4d8b-9148-e3be6c30e623}">
          <xlrd:rvb i="1217"/>
        </ext>
      </extLst>
    </bk>
    <bk>
      <extLst>
        <ext uri="{3e2802c4-a4d2-4d8b-9148-e3be6c30e623}">
          <xlrd:rvb i="1218"/>
        </ext>
      </extLst>
    </bk>
    <bk>
      <extLst>
        <ext uri="{3e2802c4-a4d2-4d8b-9148-e3be6c30e623}">
          <xlrd:rvb i="1219"/>
        </ext>
      </extLst>
    </bk>
    <bk>
      <extLst>
        <ext uri="{3e2802c4-a4d2-4d8b-9148-e3be6c30e623}">
          <xlrd:rvb i="1220"/>
        </ext>
      </extLst>
    </bk>
    <bk>
      <extLst>
        <ext uri="{3e2802c4-a4d2-4d8b-9148-e3be6c30e623}">
          <xlrd:rvb i="1221"/>
        </ext>
      </extLst>
    </bk>
    <bk>
      <extLst>
        <ext uri="{3e2802c4-a4d2-4d8b-9148-e3be6c30e623}">
          <xlrd:rvb i="1222"/>
        </ext>
      </extLst>
    </bk>
    <bk>
      <extLst>
        <ext uri="{3e2802c4-a4d2-4d8b-9148-e3be6c30e623}">
          <xlrd:rvb i="1223"/>
        </ext>
      </extLst>
    </bk>
    <bk>
      <extLst>
        <ext uri="{3e2802c4-a4d2-4d8b-9148-e3be6c30e623}">
          <xlrd:rvb i="1224"/>
        </ext>
      </extLst>
    </bk>
    <bk>
      <extLst>
        <ext uri="{3e2802c4-a4d2-4d8b-9148-e3be6c30e623}">
          <xlrd:rvb i="1225"/>
        </ext>
      </extLst>
    </bk>
    <bk>
      <extLst>
        <ext uri="{3e2802c4-a4d2-4d8b-9148-e3be6c30e623}">
          <xlrd:rvb i="1226"/>
        </ext>
      </extLst>
    </bk>
    <bk>
      <extLst>
        <ext uri="{3e2802c4-a4d2-4d8b-9148-e3be6c30e623}">
          <xlrd:rvb i="1227"/>
        </ext>
      </extLst>
    </bk>
    <bk>
      <extLst>
        <ext uri="{3e2802c4-a4d2-4d8b-9148-e3be6c30e623}">
          <xlrd:rvb i="1228"/>
        </ext>
      </extLst>
    </bk>
    <bk>
      <extLst>
        <ext uri="{3e2802c4-a4d2-4d8b-9148-e3be6c30e623}">
          <xlrd:rvb i="1229"/>
        </ext>
      </extLst>
    </bk>
    <bk>
      <extLst>
        <ext uri="{3e2802c4-a4d2-4d8b-9148-e3be6c30e623}">
          <xlrd:rvb i="1230"/>
        </ext>
      </extLst>
    </bk>
    <bk>
      <extLst>
        <ext uri="{3e2802c4-a4d2-4d8b-9148-e3be6c30e623}">
          <xlrd:rvb i="1231"/>
        </ext>
      </extLst>
    </bk>
    <bk>
      <extLst>
        <ext uri="{3e2802c4-a4d2-4d8b-9148-e3be6c30e623}">
          <xlrd:rvb i="1232"/>
        </ext>
      </extLst>
    </bk>
    <bk>
      <extLst>
        <ext uri="{3e2802c4-a4d2-4d8b-9148-e3be6c30e623}">
          <xlrd:rvb i="1233"/>
        </ext>
      </extLst>
    </bk>
    <bk>
      <extLst>
        <ext uri="{3e2802c4-a4d2-4d8b-9148-e3be6c30e623}">
          <xlrd:rvb i="1234"/>
        </ext>
      </extLst>
    </bk>
    <bk>
      <extLst>
        <ext uri="{3e2802c4-a4d2-4d8b-9148-e3be6c30e623}">
          <xlrd:rvb i="1235"/>
        </ext>
      </extLst>
    </bk>
    <bk>
      <extLst>
        <ext uri="{3e2802c4-a4d2-4d8b-9148-e3be6c30e623}">
          <xlrd:rvb i="1236"/>
        </ext>
      </extLst>
    </bk>
    <bk>
      <extLst>
        <ext uri="{3e2802c4-a4d2-4d8b-9148-e3be6c30e623}">
          <xlrd:rvb i="1237"/>
        </ext>
      </extLst>
    </bk>
    <bk>
      <extLst>
        <ext uri="{3e2802c4-a4d2-4d8b-9148-e3be6c30e623}">
          <xlrd:rvb i="1238"/>
        </ext>
      </extLst>
    </bk>
    <bk>
      <extLst>
        <ext uri="{3e2802c4-a4d2-4d8b-9148-e3be6c30e623}">
          <xlrd:rvb i="1239"/>
        </ext>
      </extLst>
    </bk>
    <bk>
      <extLst>
        <ext uri="{3e2802c4-a4d2-4d8b-9148-e3be6c30e623}">
          <xlrd:rvb i="1240"/>
        </ext>
      </extLst>
    </bk>
    <bk>
      <extLst>
        <ext uri="{3e2802c4-a4d2-4d8b-9148-e3be6c30e623}">
          <xlrd:rvb i="1241"/>
        </ext>
      </extLst>
    </bk>
    <bk>
      <extLst>
        <ext uri="{3e2802c4-a4d2-4d8b-9148-e3be6c30e623}">
          <xlrd:rvb i="1242"/>
        </ext>
      </extLst>
    </bk>
    <bk>
      <extLst>
        <ext uri="{3e2802c4-a4d2-4d8b-9148-e3be6c30e623}">
          <xlrd:rvb i="1243"/>
        </ext>
      </extLst>
    </bk>
    <bk>
      <extLst>
        <ext uri="{3e2802c4-a4d2-4d8b-9148-e3be6c30e623}">
          <xlrd:rvb i="1244"/>
        </ext>
      </extLst>
    </bk>
    <bk>
      <extLst>
        <ext uri="{3e2802c4-a4d2-4d8b-9148-e3be6c30e623}">
          <xlrd:rvb i="1245"/>
        </ext>
      </extLst>
    </bk>
    <bk>
      <extLst>
        <ext uri="{3e2802c4-a4d2-4d8b-9148-e3be6c30e623}">
          <xlrd:rvb i="1246"/>
        </ext>
      </extLst>
    </bk>
    <bk>
      <extLst>
        <ext uri="{3e2802c4-a4d2-4d8b-9148-e3be6c30e623}">
          <xlrd:rvb i="1247"/>
        </ext>
      </extLst>
    </bk>
    <bk>
      <extLst>
        <ext uri="{3e2802c4-a4d2-4d8b-9148-e3be6c30e623}">
          <xlrd:rvb i="1248"/>
        </ext>
      </extLst>
    </bk>
    <bk>
      <extLst>
        <ext uri="{3e2802c4-a4d2-4d8b-9148-e3be6c30e623}">
          <xlrd:rvb i="1249"/>
        </ext>
      </extLst>
    </bk>
    <bk>
      <extLst>
        <ext uri="{3e2802c4-a4d2-4d8b-9148-e3be6c30e623}">
          <xlrd:rvb i="1250"/>
        </ext>
      </extLst>
    </bk>
    <bk>
      <extLst>
        <ext uri="{3e2802c4-a4d2-4d8b-9148-e3be6c30e623}">
          <xlrd:rvb i="1251"/>
        </ext>
      </extLst>
    </bk>
    <bk>
      <extLst>
        <ext uri="{3e2802c4-a4d2-4d8b-9148-e3be6c30e623}">
          <xlrd:rvb i="1252"/>
        </ext>
      </extLst>
    </bk>
    <bk>
      <extLst>
        <ext uri="{3e2802c4-a4d2-4d8b-9148-e3be6c30e623}">
          <xlrd:rvb i="1253"/>
        </ext>
      </extLst>
    </bk>
    <bk>
      <extLst>
        <ext uri="{3e2802c4-a4d2-4d8b-9148-e3be6c30e623}">
          <xlrd:rvb i="1254"/>
        </ext>
      </extLst>
    </bk>
    <bk>
      <extLst>
        <ext uri="{3e2802c4-a4d2-4d8b-9148-e3be6c30e623}">
          <xlrd:rvb i="1255"/>
        </ext>
      </extLst>
    </bk>
    <bk>
      <extLst>
        <ext uri="{3e2802c4-a4d2-4d8b-9148-e3be6c30e623}">
          <xlrd:rvb i="1256"/>
        </ext>
      </extLst>
    </bk>
    <bk>
      <extLst>
        <ext uri="{3e2802c4-a4d2-4d8b-9148-e3be6c30e623}">
          <xlrd:rvb i="1257"/>
        </ext>
      </extLst>
    </bk>
    <bk>
      <extLst>
        <ext uri="{3e2802c4-a4d2-4d8b-9148-e3be6c30e623}">
          <xlrd:rvb i="1258"/>
        </ext>
      </extLst>
    </bk>
    <bk>
      <extLst>
        <ext uri="{3e2802c4-a4d2-4d8b-9148-e3be6c30e623}">
          <xlrd:rvb i="1259"/>
        </ext>
      </extLst>
    </bk>
    <bk>
      <extLst>
        <ext uri="{3e2802c4-a4d2-4d8b-9148-e3be6c30e623}">
          <xlrd:rvb i="1260"/>
        </ext>
      </extLst>
    </bk>
    <bk>
      <extLst>
        <ext uri="{3e2802c4-a4d2-4d8b-9148-e3be6c30e623}">
          <xlrd:rvb i="1261"/>
        </ext>
      </extLst>
    </bk>
    <bk>
      <extLst>
        <ext uri="{3e2802c4-a4d2-4d8b-9148-e3be6c30e623}">
          <xlrd:rvb i="1262"/>
        </ext>
      </extLst>
    </bk>
    <bk>
      <extLst>
        <ext uri="{3e2802c4-a4d2-4d8b-9148-e3be6c30e623}">
          <xlrd:rvb i="1263"/>
        </ext>
      </extLst>
    </bk>
    <bk>
      <extLst>
        <ext uri="{3e2802c4-a4d2-4d8b-9148-e3be6c30e623}">
          <xlrd:rvb i="1264"/>
        </ext>
      </extLst>
    </bk>
    <bk>
      <extLst>
        <ext uri="{3e2802c4-a4d2-4d8b-9148-e3be6c30e623}">
          <xlrd:rvb i="1265"/>
        </ext>
      </extLst>
    </bk>
    <bk>
      <extLst>
        <ext uri="{3e2802c4-a4d2-4d8b-9148-e3be6c30e623}">
          <xlrd:rvb i="1266"/>
        </ext>
      </extLst>
    </bk>
    <bk>
      <extLst>
        <ext uri="{3e2802c4-a4d2-4d8b-9148-e3be6c30e623}">
          <xlrd:rvb i="1267"/>
        </ext>
      </extLst>
    </bk>
    <bk>
      <extLst>
        <ext uri="{3e2802c4-a4d2-4d8b-9148-e3be6c30e623}">
          <xlrd:rvb i="1268"/>
        </ext>
      </extLst>
    </bk>
    <bk>
      <extLst>
        <ext uri="{3e2802c4-a4d2-4d8b-9148-e3be6c30e623}">
          <xlrd:rvb i="1269"/>
        </ext>
      </extLst>
    </bk>
    <bk>
      <extLst>
        <ext uri="{3e2802c4-a4d2-4d8b-9148-e3be6c30e623}">
          <xlrd:rvb i="1270"/>
        </ext>
      </extLst>
    </bk>
    <bk>
      <extLst>
        <ext uri="{3e2802c4-a4d2-4d8b-9148-e3be6c30e623}">
          <xlrd:rvb i="1271"/>
        </ext>
      </extLst>
    </bk>
    <bk>
      <extLst>
        <ext uri="{3e2802c4-a4d2-4d8b-9148-e3be6c30e623}">
          <xlrd:rvb i="1272"/>
        </ext>
      </extLst>
    </bk>
    <bk>
      <extLst>
        <ext uri="{3e2802c4-a4d2-4d8b-9148-e3be6c30e623}">
          <xlrd:rvb i="1273"/>
        </ext>
      </extLst>
    </bk>
    <bk>
      <extLst>
        <ext uri="{3e2802c4-a4d2-4d8b-9148-e3be6c30e623}">
          <xlrd:rvb i="1274"/>
        </ext>
      </extLst>
    </bk>
    <bk>
      <extLst>
        <ext uri="{3e2802c4-a4d2-4d8b-9148-e3be6c30e623}">
          <xlrd:rvb i="1275"/>
        </ext>
      </extLst>
    </bk>
    <bk>
      <extLst>
        <ext uri="{3e2802c4-a4d2-4d8b-9148-e3be6c30e623}">
          <xlrd:rvb i="1276"/>
        </ext>
      </extLst>
    </bk>
    <bk>
      <extLst>
        <ext uri="{3e2802c4-a4d2-4d8b-9148-e3be6c30e623}">
          <xlrd:rvb i="1277"/>
        </ext>
      </extLst>
    </bk>
    <bk>
      <extLst>
        <ext uri="{3e2802c4-a4d2-4d8b-9148-e3be6c30e623}">
          <xlrd:rvb i="1278"/>
        </ext>
      </extLst>
    </bk>
    <bk>
      <extLst>
        <ext uri="{3e2802c4-a4d2-4d8b-9148-e3be6c30e623}">
          <xlrd:rvb i="1279"/>
        </ext>
      </extLst>
    </bk>
    <bk>
      <extLst>
        <ext uri="{3e2802c4-a4d2-4d8b-9148-e3be6c30e623}">
          <xlrd:rvb i="1280"/>
        </ext>
      </extLst>
    </bk>
    <bk>
      <extLst>
        <ext uri="{3e2802c4-a4d2-4d8b-9148-e3be6c30e623}">
          <xlrd:rvb i="1281"/>
        </ext>
      </extLst>
    </bk>
    <bk>
      <extLst>
        <ext uri="{3e2802c4-a4d2-4d8b-9148-e3be6c30e623}">
          <xlrd:rvb i="1282"/>
        </ext>
      </extLst>
    </bk>
    <bk>
      <extLst>
        <ext uri="{3e2802c4-a4d2-4d8b-9148-e3be6c30e623}">
          <xlrd:rvb i="1283"/>
        </ext>
      </extLst>
    </bk>
    <bk>
      <extLst>
        <ext uri="{3e2802c4-a4d2-4d8b-9148-e3be6c30e623}">
          <xlrd:rvb i="1284"/>
        </ext>
      </extLst>
    </bk>
    <bk>
      <extLst>
        <ext uri="{3e2802c4-a4d2-4d8b-9148-e3be6c30e623}">
          <xlrd:rvb i="1285"/>
        </ext>
      </extLst>
    </bk>
    <bk>
      <extLst>
        <ext uri="{3e2802c4-a4d2-4d8b-9148-e3be6c30e623}">
          <xlrd:rvb i="1286"/>
        </ext>
      </extLst>
    </bk>
    <bk>
      <extLst>
        <ext uri="{3e2802c4-a4d2-4d8b-9148-e3be6c30e623}">
          <xlrd:rvb i="1287"/>
        </ext>
      </extLst>
    </bk>
    <bk>
      <extLst>
        <ext uri="{3e2802c4-a4d2-4d8b-9148-e3be6c30e623}">
          <xlrd:rvb i="1288"/>
        </ext>
      </extLst>
    </bk>
    <bk>
      <extLst>
        <ext uri="{3e2802c4-a4d2-4d8b-9148-e3be6c30e623}">
          <xlrd:rvb i="1289"/>
        </ext>
      </extLst>
    </bk>
    <bk>
      <extLst>
        <ext uri="{3e2802c4-a4d2-4d8b-9148-e3be6c30e623}">
          <xlrd:rvb i="1290"/>
        </ext>
      </extLst>
    </bk>
    <bk>
      <extLst>
        <ext uri="{3e2802c4-a4d2-4d8b-9148-e3be6c30e623}">
          <xlrd:rvb i="1291"/>
        </ext>
      </extLst>
    </bk>
    <bk>
      <extLst>
        <ext uri="{3e2802c4-a4d2-4d8b-9148-e3be6c30e623}">
          <xlrd:rvb i="1292"/>
        </ext>
      </extLst>
    </bk>
    <bk>
      <extLst>
        <ext uri="{3e2802c4-a4d2-4d8b-9148-e3be6c30e623}">
          <xlrd:rvb i="1293"/>
        </ext>
      </extLst>
    </bk>
    <bk>
      <extLst>
        <ext uri="{3e2802c4-a4d2-4d8b-9148-e3be6c30e623}">
          <xlrd:rvb i="1294"/>
        </ext>
      </extLst>
    </bk>
    <bk>
      <extLst>
        <ext uri="{3e2802c4-a4d2-4d8b-9148-e3be6c30e623}">
          <xlrd:rvb i="1295"/>
        </ext>
      </extLst>
    </bk>
    <bk>
      <extLst>
        <ext uri="{3e2802c4-a4d2-4d8b-9148-e3be6c30e623}">
          <xlrd:rvb i="1296"/>
        </ext>
      </extLst>
    </bk>
    <bk>
      <extLst>
        <ext uri="{3e2802c4-a4d2-4d8b-9148-e3be6c30e623}">
          <xlrd:rvb i="1297"/>
        </ext>
      </extLst>
    </bk>
    <bk>
      <extLst>
        <ext uri="{3e2802c4-a4d2-4d8b-9148-e3be6c30e623}">
          <xlrd:rvb i="1298"/>
        </ext>
      </extLst>
    </bk>
    <bk>
      <extLst>
        <ext uri="{3e2802c4-a4d2-4d8b-9148-e3be6c30e623}">
          <xlrd:rvb i="1299"/>
        </ext>
      </extLst>
    </bk>
    <bk>
      <extLst>
        <ext uri="{3e2802c4-a4d2-4d8b-9148-e3be6c30e623}">
          <xlrd:rvb i="1300"/>
        </ext>
      </extLst>
    </bk>
    <bk>
      <extLst>
        <ext uri="{3e2802c4-a4d2-4d8b-9148-e3be6c30e623}">
          <xlrd:rvb i="1301"/>
        </ext>
      </extLst>
    </bk>
    <bk>
      <extLst>
        <ext uri="{3e2802c4-a4d2-4d8b-9148-e3be6c30e623}">
          <xlrd:rvb i="1302"/>
        </ext>
      </extLst>
    </bk>
    <bk>
      <extLst>
        <ext uri="{3e2802c4-a4d2-4d8b-9148-e3be6c30e623}">
          <xlrd:rvb i="1303"/>
        </ext>
      </extLst>
    </bk>
    <bk>
      <extLst>
        <ext uri="{3e2802c4-a4d2-4d8b-9148-e3be6c30e623}">
          <xlrd:rvb i="1304"/>
        </ext>
      </extLst>
    </bk>
    <bk>
      <extLst>
        <ext uri="{3e2802c4-a4d2-4d8b-9148-e3be6c30e623}">
          <xlrd:rvb i="1305"/>
        </ext>
      </extLst>
    </bk>
    <bk>
      <extLst>
        <ext uri="{3e2802c4-a4d2-4d8b-9148-e3be6c30e623}">
          <xlrd:rvb i="1306"/>
        </ext>
      </extLst>
    </bk>
    <bk>
      <extLst>
        <ext uri="{3e2802c4-a4d2-4d8b-9148-e3be6c30e623}">
          <xlrd:rvb i="1307"/>
        </ext>
      </extLst>
    </bk>
    <bk>
      <extLst>
        <ext uri="{3e2802c4-a4d2-4d8b-9148-e3be6c30e623}">
          <xlrd:rvb i="1308"/>
        </ext>
      </extLst>
    </bk>
    <bk>
      <extLst>
        <ext uri="{3e2802c4-a4d2-4d8b-9148-e3be6c30e623}">
          <xlrd:rvb i="1309"/>
        </ext>
      </extLst>
    </bk>
    <bk>
      <extLst>
        <ext uri="{3e2802c4-a4d2-4d8b-9148-e3be6c30e623}">
          <xlrd:rvb i="1310"/>
        </ext>
      </extLst>
    </bk>
    <bk>
      <extLst>
        <ext uri="{3e2802c4-a4d2-4d8b-9148-e3be6c30e623}">
          <xlrd:rvb i="1311"/>
        </ext>
      </extLst>
    </bk>
    <bk>
      <extLst>
        <ext uri="{3e2802c4-a4d2-4d8b-9148-e3be6c30e623}">
          <xlrd:rvb i="1312"/>
        </ext>
      </extLst>
    </bk>
    <bk>
      <extLst>
        <ext uri="{3e2802c4-a4d2-4d8b-9148-e3be6c30e623}">
          <xlrd:rvb i="1313"/>
        </ext>
      </extLst>
    </bk>
    <bk>
      <extLst>
        <ext uri="{3e2802c4-a4d2-4d8b-9148-e3be6c30e623}">
          <xlrd:rvb i="1314"/>
        </ext>
      </extLst>
    </bk>
    <bk>
      <extLst>
        <ext uri="{3e2802c4-a4d2-4d8b-9148-e3be6c30e623}">
          <xlrd:rvb i="1315"/>
        </ext>
      </extLst>
    </bk>
    <bk>
      <extLst>
        <ext uri="{3e2802c4-a4d2-4d8b-9148-e3be6c30e623}">
          <xlrd:rvb i="1316"/>
        </ext>
      </extLst>
    </bk>
    <bk>
      <extLst>
        <ext uri="{3e2802c4-a4d2-4d8b-9148-e3be6c30e623}">
          <xlrd:rvb i="1317"/>
        </ext>
      </extLst>
    </bk>
    <bk>
      <extLst>
        <ext uri="{3e2802c4-a4d2-4d8b-9148-e3be6c30e623}">
          <xlrd:rvb i="1318"/>
        </ext>
      </extLst>
    </bk>
    <bk>
      <extLst>
        <ext uri="{3e2802c4-a4d2-4d8b-9148-e3be6c30e623}">
          <xlrd:rvb i="1319"/>
        </ext>
      </extLst>
    </bk>
    <bk>
      <extLst>
        <ext uri="{3e2802c4-a4d2-4d8b-9148-e3be6c30e623}">
          <xlrd:rvb i="1320"/>
        </ext>
      </extLst>
    </bk>
    <bk>
      <extLst>
        <ext uri="{3e2802c4-a4d2-4d8b-9148-e3be6c30e623}">
          <xlrd:rvb i="1321"/>
        </ext>
      </extLst>
    </bk>
    <bk>
      <extLst>
        <ext uri="{3e2802c4-a4d2-4d8b-9148-e3be6c30e623}">
          <xlrd:rvb i="1322"/>
        </ext>
      </extLst>
    </bk>
    <bk>
      <extLst>
        <ext uri="{3e2802c4-a4d2-4d8b-9148-e3be6c30e623}">
          <xlrd:rvb i="1323"/>
        </ext>
      </extLst>
    </bk>
    <bk>
      <extLst>
        <ext uri="{3e2802c4-a4d2-4d8b-9148-e3be6c30e623}">
          <xlrd:rvb i="1324"/>
        </ext>
      </extLst>
    </bk>
    <bk>
      <extLst>
        <ext uri="{3e2802c4-a4d2-4d8b-9148-e3be6c30e623}">
          <xlrd:rvb i="1325"/>
        </ext>
      </extLst>
    </bk>
    <bk>
      <extLst>
        <ext uri="{3e2802c4-a4d2-4d8b-9148-e3be6c30e623}">
          <xlrd:rvb i="1326"/>
        </ext>
      </extLst>
    </bk>
    <bk>
      <extLst>
        <ext uri="{3e2802c4-a4d2-4d8b-9148-e3be6c30e623}">
          <xlrd:rvb i="1327"/>
        </ext>
      </extLst>
    </bk>
    <bk>
      <extLst>
        <ext uri="{3e2802c4-a4d2-4d8b-9148-e3be6c30e623}">
          <xlrd:rvb i="1328"/>
        </ext>
      </extLst>
    </bk>
    <bk>
      <extLst>
        <ext uri="{3e2802c4-a4d2-4d8b-9148-e3be6c30e623}">
          <xlrd:rvb i="1329"/>
        </ext>
      </extLst>
    </bk>
    <bk>
      <extLst>
        <ext uri="{3e2802c4-a4d2-4d8b-9148-e3be6c30e623}">
          <xlrd:rvb i="1330"/>
        </ext>
      </extLst>
    </bk>
    <bk>
      <extLst>
        <ext uri="{3e2802c4-a4d2-4d8b-9148-e3be6c30e623}">
          <xlrd:rvb i="1331"/>
        </ext>
      </extLst>
    </bk>
    <bk>
      <extLst>
        <ext uri="{3e2802c4-a4d2-4d8b-9148-e3be6c30e623}">
          <xlrd:rvb i="1332"/>
        </ext>
      </extLst>
    </bk>
    <bk>
      <extLst>
        <ext uri="{3e2802c4-a4d2-4d8b-9148-e3be6c30e623}">
          <xlrd:rvb i="1333"/>
        </ext>
      </extLst>
    </bk>
    <bk>
      <extLst>
        <ext uri="{3e2802c4-a4d2-4d8b-9148-e3be6c30e623}">
          <xlrd:rvb i="1334"/>
        </ext>
      </extLst>
    </bk>
    <bk>
      <extLst>
        <ext uri="{3e2802c4-a4d2-4d8b-9148-e3be6c30e623}">
          <xlrd:rvb i="1335"/>
        </ext>
      </extLst>
    </bk>
    <bk>
      <extLst>
        <ext uri="{3e2802c4-a4d2-4d8b-9148-e3be6c30e623}">
          <xlrd:rvb i="1336"/>
        </ext>
      </extLst>
    </bk>
    <bk>
      <extLst>
        <ext uri="{3e2802c4-a4d2-4d8b-9148-e3be6c30e623}">
          <xlrd:rvb i="1337"/>
        </ext>
      </extLst>
    </bk>
    <bk>
      <extLst>
        <ext uri="{3e2802c4-a4d2-4d8b-9148-e3be6c30e623}">
          <xlrd:rvb i="1338"/>
        </ext>
      </extLst>
    </bk>
    <bk>
      <extLst>
        <ext uri="{3e2802c4-a4d2-4d8b-9148-e3be6c30e623}">
          <xlrd:rvb i="1339"/>
        </ext>
      </extLst>
    </bk>
    <bk>
      <extLst>
        <ext uri="{3e2802c4-a4d2-4d8b-9148-e3be6c30e623}">
          <xlrd:rvb i="1340"/>
        </ext>
      </extLst>
    </bk>
    <bk>
      <extLst>
        <ext uri="{3e2802c4-a4d2-4d8b-9148-e3be6c30e623}">
          <xlrd:rvb i="1341"/>
        </ext>
      </extLst>
    </bk>
    <bk>
      <extLst>
        <ext uri="{3e2802c4-a4d2-4d8b-9148-e3be6c30e623}">
          <xlrd:rvb i="1342"/>
        </ext>
      </extLst>
    </bk>
    <bk>
      <extLst>
        <ext uri="{3e2802c4-a4d2-4d8b-9148-e3be6c30e623}">
          <xlrd:rvb i="1343"/>
        </ext>
      </extLst>
    </bk>
    <bk>
      <extLst>
        <ext uri="{3e2802c4-a4d2-4d8b-9148-e3be6c30e623}">
          <xlrd:rvb i="1344"/>
        </ext>
      </extLst>
    </bk>
    <bk>
      <extLst>
        <ext uri="{3e2802c4-a4d2-4d8b-9148-e3be6c30e623}">
          <xlrd:rvb i="1345"/>
        </ext>
      </extLst>
    </bk>
    <bk>
      <extLst>
        <ext uri="{3e2802c4-a4d2-4d8b-9148-e3be6c30e623}">
          <xlrd:rvb i="1346"/>
        </ext>
      </extLst>
    </bk>
    <bk>
      <extLst>
        <ext uri="{3e2802c4-a4d2-4d8b-9148-e3be6c30e623}">
          <xlrd:rvb i="1347"/>
        </ext>
      </extLst>
    </bk>
    <bk>
      <extLst>
        <ext uri="{3e2802c4-a4d2-4d8b-9148-e3be6c30e623}">
          <xlrd:rvb i="1348"/>
        </ext>
      </extLst>
    </bk>
    <bk>
      <extLst>
        <ext uri="{3e2802c4-a4d2-4d8b-9148-e3be6c30e623}">
          <xlrd:rvb i="1349"/>
        </ext>
      </extLst>
    </bk>
    <bk>
      <extLst>
        <ext uri="{3e2802c4-a4d2-4d8b-9148-e3be6c30e623}">
          <xlrd:rvb i="1350"/>
        </ext>
      </extLst>
    </bk>
    <bk>
      <extLst>
        <ext uri="{3e2802c4-a4d2-4d8b-9148-e3be6c30e623}">
          <xlrd:rvb i="1351"/>
        </ext>
      </extLst>
    </bk>
    <bk>
      <extLst>
        <ext uri="{3e2802c4-a4d2-4d8b-9148-e3be6c30e623}">
          <xlrd:rvb i="1352"/>
        </ext>
      </extLst>
    </bk>
    <bk>
      <extLst>
        <ext uri="{3e2802c4-a4d2-4d8b-9148-e3be6c30e623}">
          <xlrd:rvb i="1353"/>
        </ext>
      </extLst>
    </bk>
    <bk>
      <extLst>
        <ext uri="{3e2802c4-a4d2-4d8b-9148-e3be6c30e623}">
          <xlrd:rvb i="1354"/>
        </ext>
      </extLst>
    </bk>
    <bk>
      <extLst>
        <ext uri="{3e2802c4-a4d2-4d8b-9148-e3be6c30e623}">
          <xlrd:rvb i="1355"/>
        </ext>
      </extLst>
    </bk>
    <bk>
      <extLst>
        <ext uri="{3e2802c4-a4d2-4d8b-9148-e3be6c30e623}">
          <xlrd:rvb i="1356"/>
        </ext>
      </extLst>
    </bk>
    <bk>
      <extLst>
        <ext uri="{3e2802c4-a4d2-4d8b-9148-e3be6c30e623}">
          <xlrd:rvb i="1357"/>
        </ext>
      </extLst>
    </bk>
    <bk>
      <extLst>
        <ext uri="{3e2802c4-a4d2-4d8b-9148-e3be6c30e623}">
          <xlrd:rvb i="1358"/>
        </ext>
      </extLst>
    </bk>
    <bk>
      <extLst>
        <ext uri="{3e2802c4-a4d2-4d8b-9148-e3be6c30e623}">
          <xlrd:rvb i="1359"/>
        </ext>
      </extLst>
    </bk>
    <bk>
      <extLst>
        <ext uri="{3e2802c4-a4d2-4d8b-9148-e3be6c30e623}">
          <xlrd:rvb i="1360"/>
        </ext>
      </extLst>
    </bk>
    <bk>
      <extLst>
        <ext uri="{3e2802c4-a4d2-4d8b-9148-e3be6c30e623}">
          <xlrd:rvb i="1361"/>
        </ext>
      </extLst>
    </bk>
    <bk>
      <extLst>
        <ext uri="{3e2802c4-a4d2-4d8b-9148-e3be6c30e623}">
          <xlrd:rvb i="1362"/>
        </ext>
      </extLst>
    </bk>
    <bk>
      <extLst>
        <ext uri="{3e2802c4-a4d2-4d8b-9148-e3be6c30e623}">
          <xlrd:rvb i="1363"/>
        </ext>
      </extLst>
    </bk>
    <bk>
      <extLst>
        <ext uri="{3e2802c4-a4d2-4d8b-9148-e3be6c30e623}">
          <xlrd:rvb i="1364"/>
        </ext>
      </extLst>
    </bk>
    <bk>
      <extLst>
        <ext uri="{3e2802c4-a4d2-4d8b-9148-e3be6c30e623}">
          <xlrd:rvb i="1365"/>
        </ext>
      </extLst>
    </bk>
    <bk>
      <extLst>
        <ext uri="{3e2802c4-a4d2-4d8b-9148-e3be6c30e623}">
          <xlrd:rvb i="1366"/>
        </ext>
      </extLst>
    </bk>
    <bk>
      <extLst>
        <ext uri="{3e2802c4-a4d2-4d8b-9148-e3be6c30e623}">
          <xlrd:rvb i="1367"/>
        </ext>
      </extLst>
    </bk>
    <bk>
      <extLst>
        <ext uri="{3e2802c4-a4d2-4d8b-9148-e3be6c30e623}">
          <xlrd:rvb i="1368"/>
        </ext>
      </extLst>
    </bk>
    <bk>
      <extLst>
        <ext uri="{3e2802c4-a4d2-4d8b-9148-e3be6c30e623}">
          <xlrd:rvb i="1369"/>
        </ext>
      </extLst>
    </bk>
    <bk>
      <extLst>
        <ext uri="{3e2802c4-a4d2-4d8b-9148-e3be6c30e623}">
          <xlrd:rvb i="1370"/>
        </ext>
      </extLst>
    </bk>
    <bk>
      <extLst>
        <ext uri="{3e2802c4-a4d2-4d8b-9148-e3be6c30e623}">
          <xlrd:rvb i="1371"/>
        </ext>
      </extLst>
    </bk>
    <bk>
      <extLst>
        <ext uri="{3e2802c4-a4d2-4d8b-9148-e3be6c30e623}">
          <xlrd:rvb i="1372"/>
        </ext>
      </extLst>
    </bk>
    <bk>
      <extLst>
        <ext uri="{3e2802c4-a4d2-4d8b-9148-e3be6c30e623}">
          <xlrd:rvb i="1373"/>
        </ext>
      </extLst>
    </bk>
    <bk>
      <extLst>
        <ext uri="{3e2802c4-a4d2-4d8b-9148-e3be6c30e623}">
          <xlrd:rvb i="1374"/>
        </ext>
      </extLst>
    </bk>
    <bk>
      <extLst>
        <ext uri="{3e2802c4-a4d2-4d8b-9148-e3be6c30e623}">
          <xlrd:rvb i="1375"/>
        </ext>
      </extLst>
    </bk>
    <bk>
      <extLst>
        <ext uri="{3e2802c4-a4d2-4d8b-9148-e3be6c30e623}">
          <xlrd:rvb i="1376"/>
        </ext>
      </extLst>
    </bk>
    <bk>
      <extLst>
        <ext uri="{3e2802c4-a4d2-4d8b-9148-e3be6c30e623}">
          <xlrd:rvb i="1377"/>
        </ext>
      </extLst>
    </bk>
    <bk>
      <extLst>
        <ext uri="{3e2802c4-a4d2-4d8b-9148-e3be6c30e623}">
          <xlrd:rvb i="1378"/>
        </ext>
      </extLst>
    </bk>
    <bk>
      <extLst>
        <ext uri="{3e2802c4-a4d2-4d8b-9148-e3be6c30e623}">
          <xlrd:rvb i="1379"/>
        </ext>
      </extLst>
    </bk>
    <bk>
      <extLst>
        <ext uri="{3e2802c4-a4d2-4d8b-9148-e3be6c30e623}">
          <xlrd:rvb i="1380"/>
        </ext>
      </extLst>
    </bk>
    <bk>
      <extLst>
        <ext uri="{3e2802c4-a4d2-4d8b-9148-e3be6c30e623}">
          <xlrd:rvb i="1381"/>
        </ext>
      </extLst>
    </bk>
    <bk>
      <extLst>
        <ext uri="{3e2802c4-a4d2-4d8b-9148-e3be6c30e623}">
          <xlrd:rvb i="1382"/>
        </ext>
      </extLst>
    </bk>
    <bk>
      <extLst>
        <ext uri="{3e2802c4-a4d2-4d8b-9148-e3be6c30e623}">
          <xlrd:rvb i="1383"/>
        </ext>
      </extLst>
    </bk>
    <bk>
      <extLst>
        <ext uri="{3e2802c4-a4d2-4d8b-9148-e3be6c30e623}">
          <xlrd:rvb i="1384"/>
        </ext>
      </extLst>
    </bk>
    <bk>
      <extLst>
        <ext uri="{3e2802c4-a4d2-4d8b-9148-e3be6c30e623}">
          <xlrd:rvb i="1385"/>
        </ext>
      </extLst>
    </bk>
    <bk>
      <extLst>
        <ext uri="{3e2802c4-a4d2-4d8b-9148-e3be6c30e623}">
          <xlrd:rvb i="1386"/>
        </ext>
      </extLst>
    </bk>
    <bk>
      <extLst>
        <ext uri="{3e2802c4-a4d2-4d8b-9148-e3be6c30e623}">
          <xlrd:rvb i="1387"/>
        </ext>
      </extLst>
    </bk>
    <bk>
      <extLst>
        <ext uri="{3e2802c4-a4d2-4d8b-9148-e3be6c30e623}">
          <xlrd:rvb i="1388"/>
        </ext>
      </extLst>
    </bk>
    <bk>
      <extLst>
        <ext uri="{3e2802c4-a4d2-4d8b-9148-e3be6c30e623}">
          <xlrd:rvb i="1389"/>
        </ext>
      </extLst>
    </bk>
    <bk>
      <extLst>
        <ext uri="{3e2802c4-a4d2-4d8b-9148-e3be6c30e623}">
          <xlrd:rvb i="1390"/>
        </ext>
      </extLst>
    </bk>
    <bk>
      <extLst>
        <ext uri="{3e2802c4-a4d2-4d8b-9148-e3be6c30e623}">
          <xlrd:rvb i="1391"/>
        </ext>
      </extLst>
    </bk>
    <bk>
      <extLst>
        <ext uri="{3e2802c4-a4d2-4d8b-9148-e3be6c30e623}">
          <xlrd:rvb i="1392"/>
        </ext>
      </extLst>
    </bk>
    <bk>
      <extLst>
        <ext uri="{3e2802c4-a4d2-4d8b-9148-e3be6c30e623}">
          <xlrd:rvb i="1393"/>
        </ext>
      </extLst>
    </bk>
    <bk>
      <extLst>
        <ext uri="{3e2802c4-a4d2-4d8b-9148-e3be6c30e623}">
          <xlrd:rvb i="1394"/>
        </ext>
      </extLst>
    </bk>
    <bk>
      <extLst>
        <ext uri="{3e2802c4-a4d2-4d8b-9148-e3be6c30e623}">
          <xlrd:rvb i="1395"/>
        </ext>
      </extLst>
    </bk>
    <bk>
      <extLst>
        <ext uri="{3e2802c4-a4d2-4d8b-9148-e3be6c30e623}">
          <xlrd:rvb i="1396"/>
        </ext>
      </extLst>
    </bk>
    <bk>
      <extLst>
        <ext uri="{3e2802c4-a4d2-4d8b-9148-e3be6c30e623}">
          <xlrd:rvb i="1397"/>
        </ext>
      </extLst>
    </bk>
    <bk>
      <extLst>
        <ext uri="{3e2802c4-a4d2-4d8b-9148-e3be6c30e623}">
          <xlrd:rvb i="1398"/>
        </ext>
      </extLst>
    </bk>
    <bk>
      <extLst>
        <ext uri="{3e2802c4-a4d2-4d8b-9148-e3be6c30e623}">
          <xlrd:rvb i="1399"/>
        </ext>
      </extLst>
    </bk>
    <bk>
      <extLst>
        <ext uri="{3e2802c4-a4d2-4d8b-9148-e3be6c30e623}">
          <xlrd:rvb i="1400"/>
        </ext>
      </extLst>
    </bk>
    <bk>
      <extLst>
        <ext uri="{3e2802c4-a4d2-4d8b-9148-e3be6c30e623}">
          <xlrd:rvb i="1401"/>
        </ext>
      </extLst>
    </bk>
    <bk>
      <extLst>
        <ext uri="{3e2802c4-a4d2-4d8b-9148-e3be6c30e623}">
          <xlrd:rvb i="1402"/>
        </ext>
      </extLst>
    </bk>
    <bk>
      <extLst>
        <ext uri="{3e2802c4-a4d2-4d8b-9148-e3be6c30e623}">
          <xlrd:rvb i="1403"/>
        </ext>
      </extLst>
    </bk>
    <bk>
      <extLst>
        <ext uri="{3e2802c4-a4d2-4d8b-9148-e3be6c30e623}">
          <xlrd:rvb i="1404"/>
        </ext>
      </extLst>
    </bk>
    <bk>
      <extLst>
        <ext uri="{3e2802c4-a4d2-4d8b-9148-e3be6c30e623}">
          <xlrd:rvb i="1405"/>
        </ext>
      </extLst>
    </bk>
    <bk>
      <extLst>
        <ext uri="{3e2802c4-a4d2-4d8b-9148-e3be6c30e623}">
          <xlrd:rvb i="1406"/>
        </ext>
      </extLst>
    </bk>
    <bk>
      <extLst>
        <ext uri="{3e2802c4-a4d2-4d8b-9148-e3be6c30e623}">
          <xlrd:rvb i="1407"/>
        </ext>
      </extLst>
    </bk>
    <bk>
      <extLst>
        <ext uri="{3e2802c4-a4d2-4d8b-9148-e3be6c30e623}">
          <xlrd:rvb i="1408"/>
        </ext>
      </extLst>
    </bk>
    <bk>
      <extLst>
        <ext uri="{3e2802c4-a4d2-4d8b-9148-e3be6c30e623}">
          <xlrd:rvb i="1409"/>
        </ext>
      </extLst>
    </bk>
    <bk>
      <extLst>
        <ext uri="{3e2802c4-a4d2-4d8b-9148-e3be6c30e623}">
          <xlrd:rvb i="1410"/>
        </ext>
      </extLst>
    </bk>
    <bk>
      <extLst>
        <ext uri="{3e2802c4-a4d2-4d8b-9148-e3be6c30e623}">
          <xlrd:rvb i="1411"/>
        </ext>
      </extLst>
    </bk>
    <bk>
      <extLst>
        <ext uri="{3e2802c4-a4d2-4d8b-9148-e3be6c30e623}">
          <xlrd:rvb i="1412"/>
        </ext>
      </extLst>
    </bk>
    <bk>
      <extLst>
        <ext uri="{3e2802c4-a4d2-4d8b-9148-e3be6c30e623}">
          <xlrd:rvb i="1413"/>
        </ext>
      </extLst>
    </bk>
    <bk>
      <extLst>
        <ext uri="{3e2802c4-a4d2-4d8b-9148-e3be6c30e623}">
          <xlrd:rvb i="1414"/>
        </ext>
      </extLst>
    </bk>
    <bk>
      <extLst>
        <ext uri="{3e2802c4-a4d2-4d8b-9148-e3be6c30e623}">
          <xlrd:rvb i="1415"/>
        </ext>
      </extLst>
    </bk>
    <bk>
      <extLst>
        <ext uri="{3e2802c4-a4d2-4d8b-9148-e3be6c30e623}">
          <xlrd:rvb i="1416"/>
        </ext>
      </extLst>
    </bk>
    <bk>
      <extLst>
        <ext uri="{3e2802c4-a4d2-4d8b-9148-e3be6c30e623}">
          <xlrd:rvb i="1417"/>
        </ext>
      </extLst>
    </bk>
    <bk>
      <extLst>
        <ext uri="{3e2802c4-a4d2-4d8b-9148-e3be6c30e623}">
          <xlrd:rvb i="1418"/>
        </ext>
      </extLst>
    </bk>
    <bk>
      <extLst>
        <ext uri="{3e2802c4-a4d2-4d8b-9148-e3be6c30e623}">
          <xlrd:rvb i="1419"/>
        </ext>
      </extLst>
    </bk>
    <bk>
      <extLst>
        <ext uri="{3e2802c4-a4d2-4d8b-9148-e3be6c30e623}">
          <xlrd:rvb i="1420"/>
        </ext>
      </extLst>
    </bk>
    <bk>
      <extLst>
        <ext uri="{3e2802c4-a4d2-4d8b-9148-e3be6c30e623}">
          <xlrd:rvb i="1421"/>
        </ext>
      </extLst>
    </bk>
    <bk>
      <extLst>
        <ext uri="{3e2802c4-a4d2-4d8b-9148-e3be6c30e623}">
          <xlrd:rvb i="1422"/>
        </ext>
      </extLst>
    </bk>
    <bk>
      <extLst>
        <ext uri="{3e2802c4-a4d2-4d8b-9148-e3be6c30e623}">
          <xlrd:rvb i="1423"/>
        </ext>
      </extLst>
    </bk>
    <bk>
      <extLst>
        <ext uri="{3e2802c4-a4d2-4d8b-9148-e3be6c30e623}">
          <xlrd:rvb i="1424"/>
        </ext>
      </extLst>
    </bk>
    <bk>
      <extLst>
        <ext uri="{3e2802c4-a4d2-4d8b-9148-e3be6c30e623}">
          <xlrd:rvb i="1425"/>
        </ext>
      </extLst>
    </bk>
    <bk>
      <extLst>
        <ext uri="{3e2802c4-a4d2-4d8b-9148-e3be6c30e623}">
          <xlrd:rvb i="1426"/>
        </ext>
      </extLst>
    </bk>
    <bk>
      <extLst>
        <ext uri="{3e2802c4-a4d2-4d8b-9148-e3be6c30e623}">
          <xlrd:rvb i="1427"/>
        </ext>
      </extLst>
    </bk>
    <bk>
      <extLst>
        <ext uri="{3e2802c4-a4d2-4d8b-9148-e3be6c30e623}">
          <xlrd:rvb i="1428"/>
        </ext>
      </extLst>
    </bk>
    <bk>
      <extLst>
        <ext uri="{3e2802c4-a4d2-4d8b-9148-e3be6c30e623}">
          <xlrd:rvb i="1429"/>
        </ext>
      </extLst>
    </bk>
    <bk>
      <extLst>
        <ext uri="{3e2802c4-a4d2-4d8b-9148-e3be6c30e623}">
          <xlrd:rvb i="1430"/>
        </ext>
      </extLst>
    </bk>
    <bk>
      <extLst>
        <ext uri="{3e2802c4-a4d2-4d8b-9148-e3be6c30e623}">
          <xlrd:rvb i="1431"/>
        </ext>
      </extLst>
    </bk>
    <bk>
      <extLst>
        <ext uri="{3e2802c4-a4d2-4d8b-9148-e3be6c30e623}">
          <xlrd:rvb i="1432"/>
        </ext>
      </extLst>
    </bk>
    <bk>
      <extLst>
        <ext uri="{3e2802c4-a4d2-4d8b-9148-e3be6c30e623}">
          <xlrd:rvb i="1433"/>
        </ext>
      </extLst>
    </bk>
    <bk>
      <extLst>
        <ext uri="{3e2802c4-a4d2-4d8b-9148-e3be6c30e623}">
          <xlrd:rvb i="1434"/>
        </ext>
      </extLst>
    </bk>
    <bk>
      <extLst>
        <ext uri="{3e2802c4-a4d2-4d8b-9148-e3be6c30e623}">
          <xlrd:rvb i="1435"/>
        </ext>
      </extLst>
    </bk>
    <bk>
      <extLst>
        <ext uri="{3e2802c4-a4d2-4d8b-9148-e3be6c30e623}">
          <xlrd:rvb i="1436"/>
        </ext>
      </extLst>
    </bk>
    <bk>
      <extLst>
        <ext uri="{3e2802c4-a4d2-4d8b-9148-e3be6c30e623}">
          <xlrd:rvb i="1437"/>
        </ext>
      </extLst>
    </bk>
    <bk>
      <extLst>
        <ext uri="{3e2802c4-a4d2-4d8b-9148-e3be6c30e623}">
          <xlrd:rvb i="1438"/>
        </ext>
      </extLst>
    </bk>
    <bk>
      <extLst>
        <ext uri="{3e2802c4-a4d2-4d8b-9148-e3be6c30e623}">
          <xlrd:rvb i="1439"/>
        </ext>
      </extLst>
    </bk>
    <bk>
      <extLst>
        <ext uri="{3e2802c4-a4d2-4d8b-9148-e3be6c30e623}">
          <xlrd:rvb i="1440"/>
        </ext>
      </extLst>
    </bk>
    <bk>
      <extLst>
        <ext uri="{3e2802c4-a4d2-4d8b-9148-e3be6c30e623}">
          <xlrd:rvb i="1441"/>
        </ext>
      </extLst>
    </bk>
    <bk>
      <extLst>
        <ext uri="{3e2802c4-a4d2-4d8b-9148-e3be6c30e623}">
          <xlrd:rvb i="1442"/>
        </ext>
      </extLst>
    </bk>
    <bk>
      <extLst>
        <ext uri="{3e2802c4-a4d2-4d8b-9148-e3be6c30e623}">
          <xlrd:rvb i="1443"/>
        </ext>
      </extLst>
    </bk>
    <bk>
      <extLst>
        <ext uri="{3e2802c4-a4d2-4d8b-9148-e3be6c30e623}">
          <xlrd:rvb i="1444"/>
        </ext>
      </extLst>
    </bk>
    <bk>
      <extLst>
        <ext uri="{3e2802c4-a4d2-4d8b-9148-e3be6c30e623}">
          <xlrd:rvb i="1445"/>
        </ext>
      </extLst>
    </bk>
    <bk>
      <extLst>
        <ext uri="{3e2802c4-a4d2-4d8b-9148-e3be6c30e623}">
          <xlrd:rvb i="1446"/>
        </ext>
      </extLst>
    </bk>
    <bk>
      <extLst>
        <ext uri="{3e2802c4-a4d2-4d8b-9148-e3be6c30e623}">
          <xlrd:rvb i="1447"/>
        </ext>
      </extLst>
    </bk>
    <bk>
      <extLst>
        <ext uri="{3e2802c4-a4d2-4d8b-9148-e3be6c30e623}">
          <xlrd:rvb i="1448"/>
        </ext>
      </extLst>
    </bk>
    <bk>
      <extLst>
        <ext uri="{3e2802c4-a4d2-4d8b-9148-e3be6c30e623}">
          <xlrd:rvb i="1449"/>
        </ext>
      </extLst>
    </bk>
    <bk>
      <extLst>
        <ext uri="{3e2802c4-a4d2-4d8b-9148-e3be6c30e623}">
          <xlrd:rvb i="1450"/>
        </ext>
      </extLst>
    </bk>
    <bk>
      <extLst>
        <ext uri="{3e2802c4-a4d2-4d8b-9148-e3be6c30e623}">
          <xlrd:rvb i="1451"/>
        </ext>
      </extLst>
    </bk>
    <bk>
      <extLst>
        <ext uri="{3e2802c4-a4d2-4d8b-9148-e3be6c30e623}">
          <xlrd:rvb i="1452"/>
        </ext>
      </extLst>
    </bk>
    <bk>
      <extLst>
        <ext uri="{3e2802c4-a4d2-4d8b-9148-e3be6c30e623}">
          <xlrd:rvb i="1453"/>
        </ext>
      </extLst>
    </bk>
    <bk>
      <extLst>
        <ext uri="{3e2802c4-a4d2-4d8b-9148-e3be6c30e623}">
          <xlrd:rvb i="1454"/>
        </ext>
      </extLst>
    </bk>
    <bk>
      <extLst>
        <ext uri="{3e2802c4-a4d2-4d8b-9148-e3be6c30e623}">
          <xlrd:rvb i="1455"/>
        </ext>
      </extLst>
    </bk>
    <bk>
      <extLst>
        <ext uri="{3e2802c4-a4d2-4d8b-9148-e3be6c30e623}">
          <xlrd:rvb i="1456"/>
        </ext>
      </extLst>
    </bk>
    <bk>
      <extLst>
        <ext uri="{3e2802c4-a4d2-4d8b-9148-e3be6c30e623}">
          <xlrd:rvb i="1457"/>
        </ext>
      </extLst>
    </bk>
    <bk>
      <extLst>
        <ext uri="{3e2802c4-a4d2-4d8b-9148-e3be6c30e623}">
          <xlrd:rvb i="1458"/>
        </ext>
      </extLst>
    </bk>
    <bk>
      <extLst>
        <ext uri="{3e2802c4-a4d2-4d8b-9148-e3be6c30e623}">
          <xlrd:rvb i="1459"/>
        </ext>
      </extLst>
    </bk>
    <bk>
      <extLst>
        <ext uri="{3e2802c4-a4d2-4d8b-9148-e3be6c30e623}">
          <xlrd:rvb i="1460"/>
        </ext>
      </extLst>
    </bk>
    <bk>
      <extLst>
        <ext uri="{3e2802c4-a4d2-4d8b-9148-e3be6c30e623}">
          <xlrd:rvb i="1461"/>
        </ext>
      </extLst>
    </bk>
    <bk>
      <extLst>
        <ext uri="{3e2802c4-a4d2-4d8b-9148-e3be6c30e623}">
          <xlrd:rvb i="1462"/>
        </ext>
      </extLst>
    </bk>
    <bk>
      <extLst>
        <ext uri="{3e2802c4-a4d2-4d8b-9148-e3be6c30e623}">
          <xlrd:rvb i="1463"/>
        </ext>
      </extLst>
    </bk>
    <bk>
      <extLst>
        <ext uri="{3e2802c4-a4d2-4d8b-9148-e3be6c30e623}">
          <xlrd:rvb i="1464"/>
        </ext>
      </extLst>
    </bk>
    <bk>
      <extLst>
        <ext uri="{3e2802c4-a4d2-4d8b-9148-e3be6c30e623}">
          <xlrd:rvb i="1465"/>
        </ext>
      </extLst>
    </bk>
    <bk>
      <extLst>
        <ext uri="{3e2802c4-a4d2-4d8b-9148-e3be6c30e623}">
          <xlrd:rvb i="1466"/>
        </ext>
      </extLst>
    </bk>
    <bk>
      <extLst>
        <ext uri="{3e2802c4-a4d2-4d8b-9148-e3be6c30e623}">
          <xlrd:rvb i="1467"/>
        </ext>
      </extLst>
    </bk>
    <bk>
      <extLst>
        <ext uri="{3e2802c4-a4d2-4d8b-9148-e3be6c30e623}">
          <xlrd:rvb i="1468"/>
        </ext>
      </extLst>
    </bk>
    <bk>
      <extLst>
        <ext uri="{3e2802c4-a4d2-4d8b-9148-e3be6c30e623}">
          <xlrd:rvb i="1469"/>
        </ext>
      </extLst>
    </bk>
    <bk>
      <extLst>
        <ext uri="{3e2802c4-a4d2-4d8b-9148-e3be6c30e623}">
          <xlrd:rvb i="1470"/>
        </ext>
      </extLst>
    </bk>
    <bk>
      <extLst>
        <ext uri="{3e2802c4-a4d2-4d8b-9148-e3be6c30e623}">
          <xlrd:rvb i="1471"/>
        </ext>
      </extLst>
    </bk>
    <bk>
      <extLst>
        <ext uri="{3e2802c4-a4d2-4d8b-9148-e3be6c30e623}">
          <xlrd:rvb i="1472"/>
        </ext>
      </extLst>
    </bk>
    <bk>
      <extLst>
        <ext uri="{3e2802c4-a4d2-4d8b-9148-e3be6c30e623}">
          <xlrd:rvb i="1473"/>
        </ext>
      </extLst>
    </bk>
    <bk>
      <extLst>
        <ext uri="{3e2802c4-a4d2-4d8b-9148-e3be6c30e623}">
          <xlrd:rvb i="1474"/>
        </ext>
      </extLst>
    </bk>
    <bk>
      <extLst>
        <ext uri="{3e2802c4-a4d2-4d8b-9148-e3be6c30e623}">
          <xlrd:rvb i="1475"/>
        </ext>
      </extLst>
    </bk>
    <bk>
      <extLst>
        <ext uri="{3e2802c4-a4d2-4d8b-9148-e3be6c30e623}">
          <xlrd:rvb i="1476"/>
        </ext>
      </extLst>
    </bk>
    <bk>
      <extLst>
        <ext uri="{3e2802c4-a4d2-4d8b-9148-e3be6c30e623}">
          <xlrd:rvb i="1477"/>
        </ext>
      </extLst>
    </bk>
    <bk>
      <extLst>
        <ext uri="{3e2802c4-a4d2-4d8b-9148-e3be6c30e623}">
          <xlrd:rvb i="1478"/>
        </ext>
      </extLst>
    </bk>
    <bk>
      <extLst>
        <ext uri="{3e2802c4-a4d2-4d8b-9148-e3be6c30e623}">
          <xlrd:rvb i="1479"/>
        </ext>
      </extLst>
    </bk>
    <bk>
      <extLst>
        <ext uri="{3e2802c4-a4d2-4d8b-9148-e3be6c30e623}">
          <xlrd:rvb i="1480"/>
        </ext>
      </extLst>
    </bk>
    <bk>
      <extLst>
        <ext uri="{3e2802c4-a4d2-4d8b-9148-e3be6c30e623}">
          <xlrd:rvb i="1481"/>
        </ext>
      </extLst>
    </bk>
    <bk>
      <extLst>
        <ext uri="{3e2802c4-a4d2-4d8b-9148-e3be6c30e623}">
          <xlrd:rvb i="1482"/>
        </ext>
      </extLst>
    </bk>
    <bk>
      <extLst>
        <ext uri="{3e2802c4-a4d2-4d8b-9148-e3be6c30e623}">
          <xlrd:rvb i="1483"/>
        </ext>
      </extLst>
    </bk>
    <bk>
      <extLst>
        <ext uri="{3e2802c4-a4d2-4d8b-9148-e3be6c30e623}">
          <xlrd:rvb i="1484"/>
        </ext>
      </extLst>
    </bk>
    <bk>
      <extLst>
        <ext uri="{3e2802c4-a4d2-4d8b-9148-e3be6c30e623}">
          <xlrd:rvb i="1485"/>
        </ext>
      </extLst>
    </bk>
    <bk>
      <extLst>
        <ext uri="{3e2802c4-a4d2-4d8b-9148-e3be6c30e623}">
          <xlrd:rvb i="1486"/>
        </ext>
      </extLst>
    </bk>
    <bk>
      <extLst>
        <ext uri="{3e2802c4-a4d2-4d8b-9148-e3be6c30e623}">
          <xlrd:rvb i="1487"/>
        </ext>
      </extLst>
    </bk>
    <bk>
      <extLst>
        <ext uri="{3e2802c4-a4d2-4d8b-9148-e3be6c30e623}">
          <xlrd:rvb i="1488"/>
        </ext>
      </extLst>
    </bk>
    <bk>
      <extLst>
        <ext uri="{3e2802c4-a4d2-4d8b-9148-e3be6c30e623}">
          <xlrd:rvb i="1489"/>
        </ext>
      </extLst>
    </bk>
    <bk>
      <extLst>
        <ext uri="{3e2802c4-a4d2-4d8b-9148-e3be6c30e623}">
          <xlrd:rvb i="1490"/>
        </ext>
      </extLst>
    </bk>
    <bk>
      <extLst>
        <ext uri="{3e2802c4-a4d2-4d8b-9148-e3be6c30e623}">
          <xlrd:rvb i="1491"/>
        </ext>
      </extLst>
    </bk>
    <bk>
      <extLst>
        <ext uri="{3e2802c4-a4d2-4d8b-9148-e3be6c30e623}">
          <xlrd:rvb i="1492"/>
        </ext>
      </extLst>
    </bk>
    <bk>
      <extLst>
        <ext uri="{3e2802c4-a4d2-4d8b-9148-e3be6c30e623}">
          <xlrd:rvb i="1493"/>
        </ext>
      </extLst>
    </bk>
    <bk>
      <extLst>
        <ext uri="{3e2802c4-a4d2-4d8b-9148-e3be6c30e623}">
          <xlrd:rvb i="1494"/>
        </ext>
      </extLst>
    </bk>
    <bk>
      <extLst>
        <ext uri="{3e2802c4-a4d2-4d8b-9148-e3be6c30e623}">
          <xlrd:rvb i="1495"/>
        </ext>
      </extLst>
    </bk>
    <bk>
      <extLst>
        <ext uri="{3e2802c4-a4d2-4d8b-9148-e3be6c30e623}">
          <xlrd:rvb i="1496"/>
        </ext>
      </extLst>
    </bk>
    <bk>
      <extLst>
        <ext uri="{3e2802c4-a4d2-4d8b-9148-e3be6c30e623}">
          <xlrd:rvb i="1497"/>
        </ext>
      </extLst>
    </bk>
    <bk>
      <extLst>
        <ext uri="{3e2802c4-a4d2-4d8b-9148-e3be6c30e623}">
          <xlrd:rvb i="1498"/>
        </ext>
      </extLst>
    </bk>
    <bk>
      <extLst>
        <ext uri="{3e2802c4-a4d2-4d8b-9148-e3be6c30e623}">
          <xlrd:rvb i="1499"/>
        </ext>
      </extLst>
    </bk>
    <bk>
      <extLst>
        <ext uri="{3e2802c4-a4d2-4d8b-9148-e3be6c30e623}">
          <xlrd:rvb i="1500"/>
        </ext>
      </extLst>
    </bk>
    <bk>
      <extLst>
        <ext uri="{3e2802c4-a4d2-4d8b-9148-e3be6c30e623}">
          <xlrd:rvb i="1501"/>
        </ext>
      </extLst>
    </bk>
    <bk>
      <extLst>
        <ext uri="{3e2802c4-a4d2-4d8b-9148-e3be6c30e623}">
          <xlrd:rvb i="1502"/>
        </ext>
      </extLst>
    </bk>
    <bk>
      <extLst>
        <ext uri="{3e2802c4-a4d2-4d8b-9148-e3be6c30e623}">
          <xlrd:rvb i="1503"/>
        </ext>
      </extLst>
    </bk>
    <bk>
      <extLst>
        <ext uri="{3e2802c4-a4d2-4d8b-9148-e3be6c30e623}">
          <xlrd:rvb i="1504"/>
        </ext>
      </extLst>
    </bk>
    <bk>
      <extLst>
        <ext uri="{3e2802c4-a4d2-4d8b-9148-e3be6c30e623}">
          <xlrd:rvb i="1505"/>
        </ext>
      </extLst>
    </bk>
    <bk>
      <extLst>
        <ext uri="{3e2802c4-a4d2-4d8b-9148-e3be6c30e623}">
          <xlrd:rvb i="1506"/>
        </ext>
      </extLst>
    </bk>
    <bk>
      <extLst>
        <ext uri="{3e2802c4-a4d2-4d8b-9148-e3be6c30e623}">
          <xlrd:rvb i="1507"/>
        </ext>
      </extLst>
    </bk>
    <bk>
      <extLst>
        <ext uri="{3e2802c4-a4d2-4d8b-9148-e3be6c30e623}">
          <xlrd:rvb i="1508"/>
        </ext>
      </extLst>
    </bk>
    <bk>
      <extLst>
        <ext uri="{3e2802c4-a4d2-4d8b-9148-e3be6c30e623}">
          <xlrd:rvb i="1509"/>
        </ext>
      </extLst>
    </bk>
    <bk>
      <extLst>
        <ext uri="{3e2802c4-a4d2-4d8b-9148-e3be6c30e623}">
          <xlrd:rvb i="1510"/>
        </ext>
      </extLst>
    </bk>
    <bk>
      <extLst>
        <ext uri="{3e2802c4-a4d2-4d8b-9148-e3be6c30e623}">
          <xlrd:rvb i="1511"/>
        </ext>
      </extLst>
    </bk>
    <bk>
      <extLst>
        <ext uri="{3e2802c4-a4d2-4d8b-9148-e3be6c30e623}">
          <xlrd:rvb i="1512"/>
        </ext>
      </extLst>
    </bk>
    <bk>
      <extLst>
        <ext uri="{3e2802c4-a4d2-4d8b-9148-e3be6c30e623}">
          <xlrd:rvb i="1513"/>
        </ext>
      </extLst>
    </bk>
    <bk>
      <extLst>
        <ext uri="{3e2802c4-a4d2-4d8b-9148-e3be6c30e623}">
          <xlrd:rvb i="1514"/>
        </ext>
      </extLst>
    </bk>
    <bk>
      <extLst>
        <ext uri="{3e2802c4-a4d2-4d8b-9148-e3be6c30e623}">
          <xlrd:rvb i="1515"/>
        </ext>
      </extLst>
    </bk>
    <bk>
      <extLst>
        <ext uri="{3e2802c4-a4d2-4d8b-9148-e3be6c30e623}">
          <xlrd:rvb i="1516"/>
        </ext>
      </extLst>
    </bk>
    <bk>
      <extLst>
        <ext uri="{3e2802c4-a4d2-4d8b-9148-e3be6c30e623}">
          <xlrd:rvb i="1517"/>
        </ext>
      </extLst>
    </bk>
    <bk>
      <extLst>
        <ext uri="{3e2802c4-a4d2-4d8b-9148-e3be6c30e623}">
          <xlrd:rvb i="1518"/>
        </ext>
      </extLst>
    </bk>
    <bk>
      <extLst>
        <ext uri="{3e2802c4-a4d2-4d8b-9148-e3be6c30e623}">
          <xlrd:rvb i="1519"/>
        </ext>
      </extLst>
    </bk>
    <bk>
      <extLst>
        <ext uri="{3e2802c4-a4d2-4d8b-9148-e3be6c30e623}">
          <xlrd:rvb i="1520"/>
        </ext>
      </extLst>
    </bk>
    <bk>
      <extLst>
        <ext uri="{3e2802c4-a4d2-4d8b-9148-e3be6c30e623}">
          <xlrd:rvb i="1521"/>
        </ext>
      </extLst>
    </bk>
    <bk>
      <extLst>
        <ext uri="{3e2802c4-a4d2-4d8b-9148-e3be6c30e623}">
          <xlrd:rvb i="1522"/>
        </ext>
      </extLst>
    </bk>
    <bk>
      <extLst>
        <ext uri="{3e2802c4-a4d2-4d8b-9148-e3be6c30e623}">
          <xlrd:rvb i="1523"/>
        </ext>
      </extLst>
    </bk>
    <bk>
      <extLst>
        <ext uri="{3e2802c4-a4d2-4d8b-9148-e3be6c30e623}">
          <xlrd:rvb i="1524"/>
        </ext>
      </extLst>
    </bk>
    <bk>
      <extLst>
        <ext uri="{3e2802c4-a4d2-4d8b-9148-e3be6c30e623}">
          <xlrd:rvb i="1525"/>
        </ext>
      </extLst>
    </bk>
    <bk>
      <extLst>
        <ext uri="{3e2802c4-a4d2-4d8b-9148-e3be6c30e623}">
          <xlrd:rvb i="1526"/>
        </ext>
      </extLst>
    </bk>
    <bk>
      <extLst>
        <ext uri="{3e2802c4-a4d2-4d8b-9148-e3be6c30e623}">
          <xlrd:rvb i="1527"/>
        </ext>
      </extLst>
    </bk>
    <bk>
      <extLst>
        <ext uri="{3e2802c4-a4d2-4d8b-9148-e3be6c30e623}">
          <xlrd:rvb i="1528"/>
        </ext>
      </extLst>
    </bk>
    <bk>
      <extLst>
        <ext uri="{3e2802c4-a4d2-4d8b-9148-e3be6c30e623}">
          <xlrd:rvb i="1529"/>
        </ext>
      </extLst>
    </bk>
    <bk>
      <extLst>
        <ext uri="{3e2802c4-a4d2-4d8b-9148-e3be6c30e623}">
          <xlrd:rvb i="1530"/>
        </ext>
      </extLst>
    </bk>
    <bk>
      <extLst>
        <ext uri="{3e2802c4-a4d2-4d8b-9148-e3be6c30e623}">
          <xlrd:rvb i="1531"/>
        </ext>
      </extLst>
    </bk>
    <bk>
      <extLst>
        <ext uri="{3e2802c4-a4d2-4d8b-9148-e3be6c30e623}">
          <xlrd:rvb i="1532"/>
        </ext>
      </extLst>
    </bk>
    <bk>
      <extLst>
        <ext uri="{3e2802c4-a4d2-4d8b-9148-e3be6c30e623}">
          <xlrd:rvb i="1533"/>
        </ext>
      </extLst>
    </bk>
    <bk>
      <extLst>
        <ext uri="{3e2802c4-a4d2-4d8b-9148-e3be6c30e623}">
          <xlrd:rvb i="1534"/>
        </ext>
      </extLst>
    </bk>
    <bk>
      <extLst>
        <ext uri="{3e2802c4-a4d2-4d8b-9148-e3be6c30e623}">
          <xlrd:rvb i="1535"/>
        </ext>
      </extLst>
    </bk>
    <bk>
      <extLst>
        <ext uri="{3e2802c4-a4d2-4d8b-9148-e3be6c30e623}">
          <xlrd:rvb i="1536"/>
        </ext>
      </extLst>
    </bk>
    <bk>
      <extLst>
        <ext uri="{3e2802c4-a4d2-4d8b-9148-e3be6c30e623}">
          <xlrd:rvb i="1537"/>
        </ext>
      </extLst>
    </bk>
    <bk>
      <extLst>
        <ext uri="{3e2802c4-a4d2-4d8b-9148-e3be6c30e623}">
          <xlrd:rvb i="1538"/>
        </ext>
      </extLst>
    </bk>
    <bk>
      <extLst>
        <ext uri="{3e2802c4-a4d2-4d8b-9148-e3be6c30e623}">
          <xlrd:rvb i="1539"/>
        </ext>
      </extLst>
    </bk>
    <bk>
      <extLst>
        <ext uri="{3e2802c4-a4d2-4d8b-9148-e3be6c30e623}">
          <xlrd:rvb i="1540"/>
        </ext>
      </extLst>
    </bk>
    <bk>
      <extLst>
        <ext uri="{3e2802c4-a4d2-4d8b-9148-e3be6c30e623}">
          <xlrd:rvb i="1541"/>
        </ext>
      </extLst>
    </bk>
    <bk>
      <extLst>
        <ext uri="{3e2802c4-a4d2-4d8b-9148-e3be6c30e623}">
          <xlrd:rvb i="1542"/>
        </ext>
      </extLst>
    </bk>
    <bk>
      <extLst>
        <ext uri="{3e2802c4-a4d2-4d8b-9148-e3be6c30e623}">
          <xlrd:rvb i="1543"/>
        </ext>
      </extLst>
    </bk>
    <bk>
      <extLst>
        <ext uri="{3e2802c4-a4d2-4d8b-9148-e3be6c30e623}">
          <xlrd:rvb i="1544"/>
        </ext>
      </extLst>
    </bk>
    <bk>
      <extLst>
        <ext uri="{3e2802c4-a4d2-4d8b-9148-e3be6c30e623}">
          <xlrd:rvb i="1545"/>
        </ext>
      </extLst>
    </bk>
    <bk>
      <extLst>
        <ext uri="{3e2802c4-a4d2-4d8b-9148-e3be6c30e623}">
          <xlrd:rvb i="1546"/>
        </ext>
      </extLst>
    </bk>
    <bk>
      <extLst>
        <ext uri="{3e2802c4-a4d2-4d8b-9148-e3be6c30e623}">
          <xlrd:rvb i="1547"/>
        </ext>
      </extLst>
    </bk>
    <bk>
      <extLst>
        <ext uri="{3e2802c4-a4d2-4d8b-9148-e3be6c30e623}">
          <xlrd:rvb i="1548"/>
        </ext>
      </extLst>
    </bk>
    <bk>
      <extLst>
        <ext uri="{3e2802c4-a4d2-4d8b-9148-e3be6c30e623}">
          <xlrd:rvb i="1549"/>
        </ext>
      </extLst>
    </bk>
    <bk>
      <extLst>
        <ext uri="{3e2802c4-a4d2-4d8b-9148-e3be6c30e623}">
          <xlrd:rvb i="1550"/>
        </ext>
      </extLst>
    </bk>
    <bk>
      <extLst>
        <ext uri="{3e2802c4-a4d2-4d8b-9148-e3be6c30e623}">
          <xlrd:rvb i="1551"/>
        </ext>
      </extLst>
    </bk>
    <bk>
      <extLst>
        <ext uri="{3e2802c4-a4d2-4d8b-9148-e3be6c30e623}">
          <xlrd:rvb i="1552"/>
        </ext>
      </extLst>
    </bk>
    <bk>
      <extLst>
        <ext uri="{3e2802c4-a4d2-4d8b-9148-e3be6c30e623}">
          <xlrd:rvb i="1553"/>
        </ext>
      </extLst>
    </bk>
    <bk>
      <extLst>
        <ext uri="{3e2802c4-a4d2-4d8b-9148-e3be6c30e623}">
          <xlrd:rvb i="1554"/>
        </ext>
      </extLst>
    </bk>
    <bk>
      <extLst>
        <ext uri="{3e2802c4-a4d2-4d8b-9148-e3be6c30e623}">
          <xlrd:rvb i="1555"/>
        </ext>
      </extLst>
    </bk>
    <bk>
      <extLst>
        <ext uri="{3e2802c4-a4d2-4d8b-9148-e3be6c30e623}">
          <xlrd:rvb i="1556"/>
        </ext>
      </extLst>
    </bk>
    <bk>
      <extLst>
        <ext uri="{3e2802c4-a4d2-4d8b-9148-e3be6c30e623}">
          <xlrd:rvb i="1557"/>
        </ext>
      </extLst>
    </bk>
    <bk>
      <extLst>
        <ext uri="{3e2802c4-a4d2-4d8b-9148-e3be6c30e623}">
          <xlrd:rvb i="1558"/>
        </ext>
      </extLst>
    </bk>
    <bk>
      <extLst>
        <ext uri="{3e2802c4-a4d2-4d8b-9148-e3be6c30e623}">
          <xlrd:rvb i="1559"/>
        </ext>
      </extLst>
    </bk>
    <bk>
      <extLst>
        <ext uri="{3e2802c4-a4d2-4d8b-9148-e3be6c30e623}">
          <xlrd:rvb i="1560"/>
        </ext>
      </extLst>
    </bk>
    <bk>
      <extLst>
        <ext uri="{3e2802c4-a4d2-4d8b-9148-e3be6c30e623}">
          <xlrd:rvb i="1561"/>
        </ext>
      </extLst>
    </bk>
    <bk>
      <extLst>
        <ext uri="{3e2802c4-a4d2-4d8b-9148-e3be6c30e623}">
          <xlrd:rvb i="1562"/>
        </ext>
      </extLst>
    </bk>
    <bk>
      <extLst>
        <ext uri="{3e2802c4-a4d2-4d8b-9148-e3be6c30e623}">
          <xlrd:rvb i="1563"/>
        </ext>
      </extLst>
    </bk>
    <bk>
      <extLst>
        <ext uri="{3e2802c4-a4d2-4d8b-9148-e3be6c30e623}">
          <xlrd:rvb i="1564"/>
        </ext>
      </extLst>
    </bk>
    <bk>
      <extLst>
        <ext uri="{3e2802c4-a4d2-4d8b-9148-e3be6c30e623}">
          <xlrd:rvb i="1565"/>
        </ext>
      </extLst>
    </bk>
    <bk>
      <extLst>
        <ext uri="{3e2802c4-a4d2-4d8b-9148-e3be6c30e623}">
          <xlrd:rvb i="1566"/>
        </ext>
      </extLst>
    </bk>
    <bk>
      <extLst>
        <ext uri="{3e2802c4-a4d2-4d8b-9148-e3be6c30e623}">
          <xlrd:rvb i="1567"/>
        </ext>
      </extLst>
    </bk>
    <bk>
      <extLst>
        <ext uri="{3e2802c4-a4d2-4d8b-9148-e3be6c30e623}">
          <xlrd:rvb i="1568"/>
        </ext>
      </extLst>
    </bk>
    <bk>
      <extLst>
        <ext uri="{3e2802c4-a4d2-4d8b-9148-e3be6c30e623}">
          <xlrd:rvb i="1569"/>
        </ext>
      </extLst>
    </bk>
    <bk>
      <extLst>
        <ext uri="{3e2802c4-a4d2-4d8b-9148-e3be6c30e623}">
          <xlrd:rvb i="1570"/>
        </ext>
      </extLst>
    </bk>
    <bk>
      <extLst>
        <ext uri="{3e2802c4-a4d2-4d8b-9148-e3be6c30e623}">
          <xlrd:rvb i="1571"/>
        </ext>
      </extLst>
    </bk>
    <bk>
      <extLst>
        <ext uri="{3e2802c4-a4d2-4d8b-9148-e3be6c30e623}">
          <xlrd:rvb i="1572"/>
        </ext>
      </extLst>
    </bk>
    <bk>
      <extLst>
        <ext uri="{3e2802c4-a4d2-4d8b-9148-e3be6c30e623}">
          <xlrd:rvb i="1573"/>
        </ext>
      </extLst>
    </bk>
    <bk>
      <extLst>
        <ext uri="{3e2802c4-a4d2-4d8b-9148-e3be6c30e623}">
          <xlrd:rvb i="1574"/>
        </ext>
      </extLst>
    </bk>
    <bk>
      <extLst>
        <ext uri="{3e2802c4-a4d2-4d8b-9148-e3be6c30e623}">
          <xlrd:rvb i="1575"/>
        </ext>
      </extLst>
    </bk>
    <bk>
      <extLst>
        <ext uri="{3e2802c4-a4d2-4d8b-9148-e3be6c30e623}">
          <xlrd:rvb i="1576"/>
        </ext>
      </extLst>
    </bk>
    <bk>
      <extLst>
        <ext uri="{3e2802c4-a4d2-4d8b-9148-e3be6c30e623}">
          <xlrd:rvb i="1577"/>
        </ext>
      </extLst>
    </bk>
    <bk>
      <extLst>
        <ext uri="{3e2802c4-a4d2-4d8b-9148-e3be6c30e623}">
          <xlrd:rvb i="1578"/>
        </ext>
      </extLst>
    </bk>
    <bk>
      <extLst>
        <ext uri="{3e2802c4-a4d2-4d8b-9148-e3be6c30e623}">
          <xlrd:rvb i="1579"/>
        </ext>
      </extLst>
    </bk>
    <bk>
      <extLst>
        <ext uri="{3e2802c4-a4d2-4d8b-9148-e3be6c30e623}">
          <xlrd:rvb i="1580"/>
        </ext>
      </extLst>
    </bk>
    <bk>
      <extLst>
        <ext uri="{3e2802c4-a4d2-4d8b-9148-e3be6c30e623}">
          <xlrd:rvb i="1581"/>
        </ext>
      </extLst>
    </bk>
    <bk>
      <extLst>
        <ext uri="{3e2802c4-a4d2-4d8b-9148-e3be6c30e623}">
          <xlrd:rvb i="1582"/>
        </ext>
      </extLst>
    </bk>
    <bk>
      <extLst>
        <ext uri="{3e2802c4-a4d2-4d8b-9148-e3be6c30e623}">
          <xlrd:rvb i="1583"/>
        </ext>
      </extLst>
    </bk>
    <bk>
      <extLst>
        <ext uri="{3e2802c4-a4d2-4d8b-9148-e3be6c30e623}">
          <xlrd:rvb i="1584"/>
        </ext>
      </extLst>
    </bk>
    <bk>
      <extLst>
        <ext uri="{3e2802c4-a4d2-4d8b-9148-e3be6c30e623}">
          <xlrd:rvb i="1585"/>
        </ext>
      </extLst>
    </bk>
    <bk>
      <extLst>
        <ext uri="{3e2802c4-a4d2-4d8b-9148-e3be6c30e623}">
          <xlrd:rvb i="1586"/>
        </ext>
      </extLst>
    </bk>
    <bk>
      <extLst>
        <ext uri="{3e2802c4-a4d2-4d8b-9148-e3be6c30e623}">
          <xlrd:rvb i="1587"/>
        </ext>
      </extLst>
    </bk>
    <bk>
      <extLst>
        <ext uri="{3e2802c4-a4d2-4d8b-9148-e3be6c30e623}">
          <xlrd:rvb i="1588"/>
        </ext>
      </extLst>
    </bk>
    <bk>
      <extLst>
        <ext uri="{3e2802c4-a4d2-4d8b-9148-e3be6c30e623}">
          <xlrd:rvb i="1589"/>
        </ext>
      </extLst>
    </bk>
    <bk>
      <extLst>
        <ext uri="{3e2802c4-a4d2-4d8b-9148-e3be6c30e623}">
          <xlrd:rvb i="1590"/>
        </ext>
      </extLst>
    </bk>
    <bk>
      <extLst>
        <ext uri="{3e2802c4-a4d2-4d8b-9148-e3be6c30e623}">
          <xlrd:rvb i="1591"/>
        </ext>
      </extLst>
    </bk>
    <bk>
      <extLst>
        <ext uri="{3e2802c4-a4d2-4d8b-9148-e3be6c30e623}">
          <xlrd:rvb i="1592"/>
        </ext>
      </extLst>
    </bk>
    <bk>
      <extLst>
        <ext uri="{3e2802c4-a4d2-4d8b-9148-e3be6c30e623}">
          <xlrd:rvb i="1593"/>
        </ext>
      </extLst>
    </bk>
    <bk>
      <extLst>
        <ext uri="{3e2802c4-a4d2-4d8b-9148-e3be6c30e623}">
          <xlrd:rvb i="1594"/>
        </ext>
      </extLst>
    </bk>
    <bk>
      <extLst>
        <ext uri="{3e2802c4-a4d2-4d8b-9148-e3be6c30e623}">
          <xlrd:rvb i="1595"/>
        </ext>
      </extLst>
    </bk>
    <bk>
      <extLst>
        <ext uri="{3e2802c4-a4d2-4d8b-9148-e3be6c30e623}">
          <xlrd:rvb i="1596"/>
        </ext>
      </extLst>
    </bk>
    <bk>
      <extLst>
        <ext uri="{3e2802c4-a4d2-4d8b-9148-e3be6c30e623}">
          <xlrd:rvb i="1597"/>
        </ext>
      </extLst>
    </bk>
    <bk>
      <extLst>
        <ext uri="{3e2802c4-a4d2-4d8b-9148-e3be6c30e623}">
          <xlrd:rvb i="1598"/>
        </ext>
      </extLst>
    </bk>
    <bk>
      <extLst>
        <ext uri="{3e2802c4-a4d2-4d8b-9148-e3be6c30e623}">
          <xlrd:rvb i="1599"/>
        </ext>
      </extLst>
    </bk>
    <bk>
      <extLst>
        <ext uri="{3e2802c4-a4d2-4d8b-9148-e3be6c30e623}">
          <xlrd:rvb i="1600"/>
        </ext>
      </extLst>
    </bk>
    <bk>
      <extLst>
        <ext uri="{3e2802c4-a4d2-4d8b-9148-e3be6c30e623}">
          <xlrd:rvb i="1601"/>
        </ext>
      </extLst>
    </bk>
    <bk>
      <extLst>
        <ext uri="{3e2802c4-a4d2-4d8b-9148-e3be6c30e623}">
          <xlrd:rvb i="1602"/>
        </ext>
      </extLst>
    </bk>
    <bk>
      <extLst>
        <ext uri="{3e2802c4-a4d2-4d8b-9148-e3be6c30e623}">
          <xlrd:rvb i="1603"/>
        </ext>
      </extLst>
    </bk>
    <bk>
      <extLst>
        <ext uri="{3e2802c4-a4d2-4d8b-9148-e3be6c30e623}">
          <xlrd:rvb i="1604"/>
        </ext>
      </extLst>
    </bk>
    <bk>
      <extLst>
        <ext uri="{3e2802c4-a4d2-4d8b-9148-e3be6c30e623}">
          <xlrd:rvb i="1605"/>
        </ext>
      </extLst>
    </bk>
    <bk>
      <extLst>
        <ext uri="{3e2802c4-a4d2-4d8b-9148-e3be6c30e623}">
          <xlrd:rvb i="1606"/>
        </ext>
      </extLst>
    </bk>
    <bk>
      <extLst>
        <ext uri="{3e2802c4-a4d2-4d8b-9148-e3be6c30e623}">
          <xlrd:rvb i="1607"/>
        </ext>
      </extLst>
    </bk>
    <bk>
      <extLst>
        <ext uri="{3e2802c4-a4d2-4d8b-9148-e3be6c30e623}">
          <xlrd:rvb i="1608"/>
        </ext>
      </extLst>
    </bk>
    <bk>
      <extLst>
        <ext uri="{3e2802c4-a4d2-4d8b-9148-e3be6c30e623}">
          <xlrd:rvb i="1609"/>
        </ext>
      </extLst>
    </bk>
    <bk>
      <extLst>
        <ext uri="{3e2802c4-a4d2-4d8b-9148-e3be6c30e623}">
          <xlrd:rvb i="1610"/>
        </ext>
      </extLst>
    </bk>
    <bk>
      <extLst>
        <ext uri="{3e2802c4-a4d2-4d8b-9148-e3be6c30e623}">
          <xlrd:rvb i="1611"/>
        </ext>
      </extLst>
    </bk>
    <bk>
      <extLst>
        <ext uri="{3e2802c4-a4d2-4d8b-9148-e3be6c30e623}">
          <xlrd:rvb i="1612"/>
        </ext>
      </extLst>
    </bk>
    <bk>
      <extLst>
        <ext uri="{3e2802c4-a4d2-4d8b-9148-e3be6c30e623}">
          <xlrd:rvb i="1613"/>
        </ext>
      </extLst>
    </bk>
    <bk>
      <extLst>
        <ext uri="{3e2802c4-a4d2-4d8b-9148-e3be6c30e623}">
          <xlrd:rvb i="1614"/>
        </ext>
      </extLst>
    </bk>
    <bk>
      <extLst>
        <ext uri="{3e2802c4-a4d2-4d8b-9148-e3be6c30e623}">
          <xlrd:rvb i="1615"/>
        </ext>
      </extLst>
    </bk>
    <bk>
      <extLst>
        <ext uri="{3e2802c4-a4d2-4d8b-9148-e3be6c30e623}">
          <xlrd:rvb i="1616"/>
        </ext>
      </extLst>
    </bk>
    <bk>
      <extLst>
        <ext uri="{3e2802c4-a4d2-4d8b-9148-e3be6c30e623}">
          <xlrd:rvb i="1617"/>
        </ext>
      </extLst>
    </bk>
    <bk>
      <extLst>
        <ext uri="{3e2802c4-a4d2-4d8b-9148-e3be6c30e623}">
          <xlrd:rvb i="1618"/>
        </ext>
      </extLst>
    </bk>
    <bk>
      <extLst>
        <ext uri="{3e2802c4-a4d2-4d8b-9148-e3be6c30e623}">
          <xlrd:rvb i="1619"/>
        </ext>
      </extLst>
    </bk>
    <bk>
      <extLst>
        <ext uri="{3e2802c4-a4d2-4d8b-9148-e3be6c30e623}">
          <xlrd:rvb i="1620"/>
        </ext>
      </extLst>
    </bk>
    <bk>
      <extLst>
        <ext uri="{3e2802c4-a4d2-4d8b-9148-e3be6c30e623}">
          <xlrd:rvb i="1621"/>
        </ext>
      </extLst>
    </bk>
    <bk>
      <extLst>
        <ext uri="{3e2802c4-a4d2-4d8b-9148-e3be6c30e623}">
          <xlrd:rvb i="1622"/>
        </ext>
      </extLst>
    </bk>
    <bk>
      <extLst>
        <ext uri="{3e2802c4-a4d2-4d8b-9148-e3be6c30e623}">
          <xlrd:rvb i="1623"/>
        </ext>
      </extLst>
    </bk>
    <bk>
      <extLst>
        <ext uri="{3e2802c4-a4d2-4d8b-9148-e3be6c30e623}">
          <xlrd:rvb i="1624"/>
        </ext>
      </extLst>
    </bk>
    <bk>
      <extLst>
        <ext uri="{3e2802c4-a4d2-4d8b-9148-e3be6c30e623}">
          <xlrd:rvb i="1625"/>
        </ext>
      </extLst>
    </bk>
    <bk>
      <extLst>
        <ext uri="{3e2802c4-a4d2-4d8b-9148-e3be6c30e623}">
          <xlrd:rvb i="1626"/>
        </ext>
      </extLst>
    </bk>
    <bk>
      <extLst>
        <ext uri="{3e2802c4-a4d2-4d8b-9148-e3be6c30e623}">
          <xlrd:rvb i="1627"/>
        </ext>
      </extLst>
    </bk>
    <bk>
      <extLst>
        <ext uri="{3e2802c4-a4d2-4d8b-9148-e3be6c30e623}">
          <xlrd:rvb i="1628"/>
        </ext>
      </extLst>
    </bk>
    <bk>
      <extLst>
        <ext uri="{3e2802c4-a4d2-4d8b-9148-e3be6c30e623}">
          <xlrd:rvb i="1629"/>
        </ext>
      </extLst>
    </bk>
    <bk>
      <extLst>
        <ext uri="{3e2802c4-a4d2-4d8b-9148-e3be6c30e623}">
          <xlrd:rvb i="1630"/>
        </ext>
      </extLst>
    </bk>
    <bk>
      <extLst>
        <ext uri="{3e2802c4-a4d2-4d8b-9148-e3be6c30e623}">
          <xlrd:rvb i="1631"/>
        </ext>
      </extLst>
    </bk>
    <bk>
      <extLst>
        <ext uri="{3e2802c4-a4d2-4d8b-9148-e3be6c30e623}">
          <xlrd:rvb i="1632"/>
        </ext>
      </extLst>
    </bk>
    <bk>
      <extLst>
        <ext uri="{3e2802c4-a4d2-4d8b-9148-e3be6c30e623}">
          <xlrd:rvb i="1633"/>
        </ext>
      </extLst>
    </bk>
    <bk>
      <extLst>
        <ext uri="{3e2802c4-a4d2-4d8b-9148-e3be6c30e623}">
          <xlrd:rvb i="1634"/>
        </ext>
      </extLst>
    </bk>
    <bk>
      <extLst>
        <ext uri="{3e2802c4-a4d2-4d8b-9148-e3be6c30e623}">
          <xlrd:rvb i="1635"/>
        </ext>
      </extLst>
    </bk>
    <bk>
      <extLst>
        <ext uri="{3e2802c4-a4d2-4d8b-9148-e3be6c30e623}">
          <xlrd:rvb i="1636"/>
        </ext>
      </extLst>
    </bk>
    <bk>
      <extLst>
        <ext uri="{3e2802c4-a4d2-4d8b-9148-e3be6c30e623}">
          <xlrd:rvb i="1637"/>
        </ext>
      </extLst>
    </bk>
    <bk>
      <extLst>
        <ext uri="{3e2802c4-a4d2-4d8b-9148-e3be6c30e623}">
          <xlrd:rvb i="1638"/>
        </ext>
      </extLst>
    </bk>
    <bk>
      <extLst>
        <ext uri="{3e2802c4-a4d2-4d8b-9148-e3be6c30e623}">
          <xlrd:rvb i="1639"/>
        </ext>
      </extLst>
    </bk>
    <bk>
      <extLst>
        <ext uri="{3e2802c4-a4d2-4d8b-9148-e3be6c30e623}">
          <xlrd:rvb i="1640"/>
        </ext>
      </extLst>
    </bk>
    <bk>
      <extLst>
        <ext uri="{3e2802c4-a4d2-4d8b-9148-e3be6c30e623}">
          <xlrd:rvb i="1641"/>
        </ext>
      </extLst>
    </bk>
    <bk>
      <extLst>
        <ext uri="{3e2802c4-a4d2-4d8b-9148-e3be6c30e623}">
          <xlrd:rvb i="1642"/>
        </ext>
      </extLst>
    </bk>
    <bk>
      <extLst>
        <ext uri="{3e2802c4-a4d2-4d8b-9148-e3be6c30e623}">
          <xlrd:rvb i="1643"/>
        </ext>
      </extLst>
    </bk>
    <bk>
      <extLst>
        <ext uri="{3e2802c4-a4d2-4d8b-9148-e3be6c30e623}">
          <xlrd:rvb i="1644"/>
        </ext>
      </extLst>
    </bk>
    <bk>
      <extLst>
        <ext uri="{3e2802c4-a4d2-4d8b-9148-e3be6c30e623}">
          <xlrd:rvb i="1645"/>
        </ext>
      </extLst>
    </bk>
    <bk>
      <extLst>
        <ext uri="{3e2802c4-a4d2-4d8b-9148-e3be6c30e623}">
          <xlrd:rvb i="1646"/>
        </ext>
      </extLst>
    </bk>
    <bk>
      <extLst>
        <ext uri="{3e2802c4-a4d2-4d8b-9148-e3be6c30e623}">
          <xlrd:rvb i="1647"/>
        </ext>
      </extLst>
    </bk>
    <bk>
      <extLst>
        <ext uri="{3e2802c4-a4d2-4d8b-9148-e3be6c30e623}">
          <xlrd:rvb i="1648"/>
        </ext>
      </extLst>
    </bk>
    <bk>
      <extLst>
        <ext uri="{3e2802c4-a4d2-4d8b-9148-e3be6c30e623}">
          <xlrd:rvb i="1649"/>
        </ext>
      </extLst>
    </bk>
    <bk>
      <extLst>
        <ext uri="{3e2802c4-a4d2-4d8b-9148-e3be6c30e623}">
          <xlrd:rvb i="1650"/>
        </ext>
      </extLst>
    </bk>
    <bk>
      <extLst>
        <ext uri="{3e2802c4-a4d2-4d8b-9148-e3be6c30e623}">
          <xlrd:rvb i="1651"/>
        </ext>
      </extLst>
    </bk>
    <bk>
      <extLst>
        <ext uri="{3e2802c4-a4d2-4d8b-9148-e3be6c30e623}">
          <xlrd:rvb i="1652"/>
        </ext>
      </extLst>
    </bk>
    <bk>
      <extLst>
        <ext uri="{3e2802c4-a4d2-4d8b-9148-e3be6c30e623}">
          <xlrd:rvb i="1653"/>
        </ext>
      </extLst>
    </bk>
    <bk>
      <extLst>
        <ext uri="{3e2802c4-a4d2-4d8b-9148-e3be6c30e623}">
          <xlrd:rvb i="1654"/>
        </ext>
      </extLst>
    </bk>
    <bk>
      <extLst>
        <ext uri="{3e2802c4-a4d2-4d8b-9148-e3be6c30e623}">
          <xlrd:rvb i="1655"/>
        </ext>
      </extLst>
    </bk>
    <bk>
      <extLst>
        <ext uri="{3e2802c4-a4d2-4d8b-9148-e3be6c30e623}">
          <xlrd:rvb i="1656"/>
        </ext>
      </extLst>
    </bk>
    <bk>
      <extLst>
        <ext uri="{3e2802c4-a4d2-4d8b-9148-e3be6c30e623}">
          <xlrd:rvb i="1657"/>
        </ext>
      </extLst>
    </bk>
    <bk>
      <extLst>
        <ext uri="{3e2802c4-a4d2-4d8b-9148-e3be6c30e623}">
          <xlrd:rvb i="1658"/>
        </ext>
      </extLst>
    </bk>
    <bk>
      <extLst>
        <ext uri="{3e2802c4-a4d2-4d8b-9148-e3be6c30e623}">
          <xlrd:rvb i="1659"/>
        </ext>
      </extLst>
    </bk>
    <bk>
      <extLst>
        <ext uri="{3e2802c4-a4d2-4d8b-9148-e3be6c30e623}">
          <xlrd:rvb i="1660"/>
        </ext>
      </extLst>
    </bk>
    <bk>
      <extLst>
        <ext uri="{3e2802c4-a4d2-4d8b-9148-e3be6c30e623}">
          <xlrd:rvb i="1661"/>
        </ext>
      </extLst>
    </bk>
    <bk>
      <extLst>
        <ext uri="{3e2802c4-a4d2-4d8b-9148-e3be6c30e623}">
          <xlrd:rvb i="1662"/>
        </ext>
      </extLst>
    </bk>
    <bk>
      <extLst>
        <ext uri="{3e2802c4-a4d2-4d8b-9148-e3be6c30e623}">
          <xlrd:rvb i="1663"/>
        </ext>
      </extLst>
    </bk>
    <bk>
      <extLst>
        <ext uri="{3e2802c4-a4d2-4d8b-9148-e3be6c30e623}">
          <xlrd:rvb i="1664"/>
        </ext>
      </extLst>
    </bk>
    <bk>
      <extLst>
        <ext uri="{3e2802c4-a4d2-4d8b-9148-e3be6c30e623}">
          <xlrd:rvb i="1665"/>
        </ext>
      </extLst>
    </bk>
    <bk>
      <extLst>
        <ext uri="{3e2802c4-a4d2-4d8b-9148-e3be6c30e623}">
          <xlrd:rvb i="1666"/>
        </ext>
      </extLst>
    </bk>
    <bk>
      <extLst>
        <ext uri="{3e2802c4-a4d2-4d8b-9148-e3be6c30e623}">
          <xlrd:rvb i="1667"/>
        </ext>
      </extLst>
    </bk>
    <bk>
      <extLst>
        <ext uri="{3e2802c4-a4d2-4d8b-9148-e3be6c30e623}">
          <xlrd:rvb i="1668"/>
        </ext>
      </extLst>
    </bk>
    <bk>
      <extLst>
        <ext uri="{3e2802c4-a4d2-4d8b-9148-e3be6c30e623}">
          <xlrd:rvb i="1669"/>
        </ext>
      </extLst>
    </bk>
    <bk>
      <extLst>
        <ext uri="{3e2802c4-a4d2-4d8b-9148-e3be6c30e623}">
          <xlrd:rvb i="1670"/>
        </ext>
      </extLst>
    </bk>
    <bk>
      <extLst>
        <ext uri="{3e2802c4-a4d2-4d8b-9148-e3be6c30e623}">
          <xlrd:rvb i="1671"/>
        </ext>
      </extLst>
    </bk>
    <bk>
      <extLst>
        <ext uri="{3e2802c4-a4d2-4d8b-9148-e3be6c30e623}">
          <xlrd:rvb i="1672"/>
        </ext>
      </extLst>
    </bk>
    <bk>
      <extLst>
        <ext uri="{3e2802c4-a4d2-4d8b-9148-e3be6c30e623}">
          <xlrd:rvb i="1673"/>
        </ext>
      </extLst>
    </bk>
    <bk>
      <extLst>
        <ext uri="{3e2802c4-a4d2-4d8b-9148-e3be6c30e623}">
          <xlrd:rvb i="1674"/>
        </ext>
      </extLst>
    </bk>
    <bk>
      <extLst>
        <ext uri="{3e2802c4-a4d2-4d8b-9148-e3be6c30e623}">
          <xlrd:rvb i="1675"/>
        </ext>
      </extLst>
    </bk>
    <bk>
      <extLst>
        <ext uri="{3e2802c4-a4d2-4d8b-9148-e3be6c30e623}">
          <xlrd:rvb i="1676"/>
        </ext>
      </extLst>
    </bk>
    <bk>
      <extLst>
        <ext uri="{3e2802c4-a4d2-4d8b-9148-e3be6c30e623}">
          <xlrd:rvb i="1677"/>
        </ext>
      </extLst>
    </bk>
    <bk>
      <extLst>
        <ext uri="{3e2802c4-a4d2-4d8b-9148-e3be6c30e623}">
          <xlrd:rvb i="1678"/>
        </ext>
      </extLst>
    </bk>
    <bk>
      <extLst>
        <ext uri="{3e2802c4-a4d2-4d8b-9148-e3be6c30e623}">
          <xlrd:rvb i="1679"/>
        </ext>
      </extLst>
    </bk>
    <bk>
      <extLst>
        <ext uri="{3e2802c4-a4d2-4d8b-9148-e3be6c30e623}">
          <xlrd:rvb i="1680"/>
        </ext>
      </extLst>
    </bk>
    <bk>
      <extLst>
        <ext uri="{3e2802c4-a4d2-4d8b-9148-e3be6c30e623}">
          <xlrd:rvb i="1681"/>
        </ext>
      </extLst>
    </bk>
    <bk>
      <extLst>
        <ext uri="{3e2802c4-a4d2-4d8b-9148-e3be6c30e623}">
          <xlrd:rvb i="1682"/>
        </ext>
      </extLst>
    </bk>
    <bk>
      <extLst>
        <ext uri="{3e2802c4-a4d2-4d8b-9148-e3be6c30e623}">
          <xlrd:rvb i="1683"/>
        </ext>
      </extLst>
    </bk>
    <bk>
      <extLst>
        <ext uri="{3e2802c4-a4d2-4d8b-9148-e3be6c30e623}">
          <xlrd:rvb i="1684"/>
        </ext>
      </extLst>
    </bk>
    <bk>
      <extLst>
        <ext uri="{3e2802c4-a4d2-4d8b-9148-e3be6c30e623}">
          <xlrd:rvb i="1685"/>
        </ext>
      </extLst>
    </bk>
    <bk>
      <extLst>
        <ext uri="{3e2802c4-a4d2-4d8b-9148-e3be6c30e623}">
          <xlrd:rvb i="1686"/>
        </ext>
      </extLst>
    </bk>
    <bk>
      <extLst>
        <ext uri="{3e2802c4-a4d2-4d8b-9148-e3be6c30e623}">
          <xlrd:rvb i="1687"/>
        </ext>
      </extLst>
    </bk>
    <bk>
      <extLst>
        <ext uri="{3e2802c4-a4d2-4d8b-9148-e3be6c30e623}">
          <xlrd:rvb i="1688"/>
        </ext>
      </extLst>
    </bk>
    <bk>
      <extLst>
        <ext uri="{3e2802c4-a4d2-4d8b-9148-e3be6c30e623}">
          <xlrd:rvb i="1689"/>
        </ext>
      </extLst>
    </bk>
    <bk>
      <extLst>
        <ext uri="{3e2802c4-a4d2-4d8b-9148-e3be6c30e623}">
          <xlrd:rvb i="1690"/>
        </ext>
      </extLst>
    </bk>
    <bk>
      <extLst>
        <ext uri="{3e2802c4-a4d2-4d8b-9148-e3be6c30e623}">
          <xlrd:rvb i="1691"/>
        </ext>
      </extLst>
    </bk>
    <bk>
      <extLst>
        <ext uri="{3e2802c4-a4d2-4d8b-9148-e3be6c30e623}">
          <xlrd:rvb i="1692"/>
        </ext>
      </extLst>
    </bk>
    <bk>
      <extLst>
        <ext uri="{3e2802c4-a4d2-4d8b-9148-e3be6c30e623}">
          <xlrd:rvb i="1693"/>
        </ext>
      </extLst>
    </bk>
    <bk>
      <extLst>
        <ext uri="{3e2802c4-a4d2-4d8b-9148-e3be6c30e623}">
          <xlrd:rvb i="1694"/>
        </ext>
      </extLst>
    </bk>
    <bk>
      <extLst>
        <ext uri="{3e2802c4-a4d2-4d8b-9148-e3be6c30e623}">
          <xlrd:rvb i="1695"/>
        </ext>
      </extLst>
    </bk>
    <bk>
      <extLst>
        <ext uri="{3e2802c4-a4d2-4d8b-9148-e3be6c30e623}">
          <xlrd:rvb i="1696"/>
        </ext>
      </extLst>
    </bk>
    <bk>
      <extLst>
        <ext uri="{3e2802c4-a4d2-4d8b-9148-e3be6c30e623}">
          <xlrd:rvb i="1697"/>
        </ext>
      </extLst>
    </bk>
    <bk>
      <extLst>
        <ext uri="{3e2802c4-a4d2-4d8b-9148-e3be6c30e623}">
          <xlrd:rvb i="1698"/>
        </ext>
      </extLst>
    </bk>
    <bk>
      <extLst>
        <ext uri="{3e2802c4-a4d2-4d8b-9148-e3be6c30e623}">
          <xlrd:rvb i="1699"/>
        </ext>
      </extLst>
    </bk>
    <bk>
      <extLst>
        <ext uri="{3e2802c4-a4d2-4d8b-9148-e3be6c30e623}">
          <xlrd:rvb i="1700"/>
        </ext>
      </extLst>
    </bk>
    <bk>
      <extLst>
        <ext uri="{3e2802c4-a4d2-4d8b-9148-e3be6c30e623}">
          <xlrd:rvb i="1701"/>
        </ext>
      </extLst>
    </bk>
    <bk>
      <extLst>
        <ext uri="{3e2802c4-a4d2-4d8b-9148-e3be6c30e623}">
          <xlrd:rvb i="1702"/>
        </ext>
      </extLst>
    </bk>
    <bk>
      <extLst>
        <ext uri="{3e2802c4-a4d2-4d8b-9148-e3be6c30e623}">
          <xlrd:rvb i="1703"/>
        </ext>
      </extLst>
    </bk>
    <bk>
      <extLst>
        <ext uri="{3e2802c4-a4d2-4d8b-9148-e3be6c30e623}">
          <xlrd:rvb i="1704"/>
        </ext>
      </extLst>
    </bk>
    <bk>
      <extLst>
        <ext uri="{3e2802c4-a4d2-4d8b-9148-e3be6c30e623}">
          <xlrd:rvb i="1705"/>
        </ext>
      </extLst>
    </bk>
    <bk>
      <extLst>
        <ext uri="{3e2802c4-a4d2-4d8b-9148-e3be6c30e623}">
          <xlrd:rvb i="1706"/>
        </ext>
      </extLst>
    </bk>
    <bk>
      <extLst>
        <ext uri="{3e2802c4-a4d2-4d8b-9148-e3be6c30e623}">
          <xlrd:rvb i="1707"/>
        </ext>
      </extLst>
    </bk>
    <bk>
      <extLst>
        <ext uri="{3e2802c4-a4d2-4d8b-9148-e3be6c30e623}">
          <xlrd:rvb i="1708"/>
        </ext>
      </extLst>
    </bk>
    <bk>
      <extLst>
        <ext uri="{3e2802c4-a4d2-4d8b-9148-e3be6c30e623}">
          <xlrd:rvb i="1709"/>
        </ext>
      </extLst>
    </bk>
    <bk>
      <extLst>
        <ext uri="{3e2802c4-a4d2-4d8b-9148-e3be6c30e623}">
          <xlrd:rvb i="1710"/>
        </ext>
      </extLst>
    </bk>
    <bk>
      <extLst>
        <ext uri="{3e2802c4-a4d2-4d8b-9148-e3be6c30e623}">
          <xlrd:rvb i="1711"/>
        </ext>
      </extLst>
    </bk>
    <bk>
      <extLst>
        <ext uri="{3e2802c4-a4d2-4d8b-9148-e3be6c30e623}">
          <xlrd:rvb i="1712"/>
        </ext>
      </extLst>
    </bk>
    <bk>
      <extLst>
        <ext uri="{3e2802c4-a4d2-4d8b-9148-e3be6c30e623}">
          <xlrd:rvb i="1713"/>
        </ext>
      </extLst>
    </bk>
    <bk>
      <extLst>
        <ext uri="{3e2802c4-a4d2-4d8b-9148-e3be6c30e623}">
          <xlrd:rvb i="1714"/>
        </ext>
      </extLst>
    </bk>
    <bk>
      <extLst>
        <ext uri="{3e2802c4-a4d2-4d8b-9148-e3be6c30e623}">
          <xlrd:rvb i="1715"/>
        </ext>
      </extLst>
    </bk>
    <bk>
      <extLst>
        <ext uri="{3e2802c4-a4d2-4d8b-9148-e3be6c30e623}">
          <xlrd:rvb i="1716"/>
        </ext>
      </extLst>
    </bk>
    <bk>
      <extLst>
        <ext uri="{3e2802c4-a4d2-4d8b-9148-e3be6c30e623}">
          <xlrd:rvb i="1717"/>
        </ext>
      </extLst>
    </bk>
    <bk>
      <extLst>
        <ext uri="{3e2802c4-a4d2-4d8b-9148-e3be6c30e623}">
          <xlrd:rvb i="1718"/>
        </ext>
      </extLst>
    </bk>
    <bk>
      <extLst>
        <ext uri="{3e2802c4-a4d2-4d8b-9148-e3be6c30e623}">
          <xlrd:rvb i="1719"/>
        </ext>
      </extLst>
    </bk>
    <bk>
      <extLst>
        <ext uri="{3e2802c4-a4d2-4d8b-9148-e3be6c30e623}">
          <xlrd:rvb i="1720"/>
        </ext>
      </extLst>
    </bk>
    <bk>
      <extLst>
        <ext uri="{3e2802c4-a4d2-4d8b-9148-e3be6c30e623}">
          <xlrd:rvb i="1721"/>
        </ext>
      </extLst>
    </bk>
    <bk>
      <extLst>
        <ext uri="{3e2802c4-a4d2-4d8b-9148-e3be6c30e623}">
          <xlrd:rvb i="1722"/>
        </ext>
      </extLst>
    </bk>
    <bk>
      <extLst>
        <ext uri="{3e2802c4-a4d2-4d8b-9148-e3be6c30e623}">
          <xlrd:rvb i="1723"/>
        </ext>
      </extLst>
    </bk>
    <bk>
      <extLst>
        <ext uri="{3e2802c4-a4d2-4d8b-9148-e3be6c30e623}">
          <xlrd:rvb i="1724"/>
        </ext>
      </extLst>
    </bk>
    <bk>
      <extLst>
        <ext uri="{3e2802c4-a4d2-4d8b-9148-e3be6c30e623}">
          <xlrd:rvb i="1725"/>
        </ext>
      </extLst>
    </bk>
    <bk>
      <extLst>
        <ext uri="{3e2802c4-a4d2-4d8b-9148-e3be6c30e623}">
          <xlrd:rvb i="1726"/>
        </ext>
      </extLst>
    </bk>
    <bk>
      <extLst>
        <ext uri="{3e2802c4-a4d2-4d8b-9148-e3be6c30e623}">
          <xlrd:rvb i="1727"/>
        </ext>
      </extLst>
    </bk>
    <bk>
      <extLst>
        <ext uri="{3e2802c4-a4d2-4d8b-9148-e3be6c30e623}">
          <xlrd:rvb i="1728"/>
        </ext>
      </extLst>
    </bk>
    <bk>
      <extLst>
        <ext uri="{3e2802c4-a4d2-4d8b-9148-e3be6c30e623}">
          <xlrd:rvb i="1729"/>
        </ext>
      </extLst>
    </bk>
    <bk>
      <extLst>
        <ext uri="{3e2802c4-a4d2-4d8b-9148-e3be6c30e623}">
          <xlrd:rvb i="1730"/>
        </ext>
      </extLst>
    </bk>
    <bk>
      <extLst>
        <ext uri="{3e2802c4-a4d2-4d8b-9148-e3be6c30e623}">
          <xlrd:rvb i="1731"/>
        </ext>
      </extLst>
    </bk>
    <bk>
      <extLst>
        <ext uri="{3e2802c4-a4d2-4d8b-9148-e3be6c30e623}">
          <xlrd:rvb i="1732"/>
        </ext>
      </extLst>
    </bk>
    <bk>
      <extLst>
        <ext uri="{3e2802c4-a4d2-4d8b-9148-e3be6c30e623}">
          <xlrd:rvb i="1733"/>
        </ext>
      </extLst>
    </bk>
    <bk>
      <extLst>
        <ext uri="{3e2802c4-a4d2-4d8b-9148-e3be6c30e623}">
          <xlrd:rvb i="1734"/>
        </ext>
      </extLst>
    </bk>
    <bk>
      <extLst>
        <ext uri="{3e2802c4-a4d2-4d8b-9148-e3be6c30e623}">
          <xlrd:rvb i="1735"/>
        </ext>
      </extLst>
    </bk>
    <bk>
      <extLst>
        <ext uri="{3e2802c4-a4d2-4d8b-9148-e3be6c30e623}">
          <xlrd:rvb i="1736"/>
        </ext>
      </extLst>
    </bk>
    <bk>
      <extLst>
        <ext uri="{3e2802c4-a4d2-4d8b-9148-e3be6c30e623}">
          <xlrd:rvb i="1737"/>
        </ext>
      </extLst>
    </bk>
    <bk>
      <extLst>
        <ext uri="{3e2802c4-a4d2-4d8b-9148-e3be6c30e623}">
          <xlrd:rvb i="1738"/>
        </ext>
      </extLst>
    </bk>
    <bk>
      <extLst>
        <ext uri="{3e2802c4-a4d2-4d8b-9148-e3be6c30e623}">
          <xlrd:rvb i="1739"/>
        </ext>
      </extLst>
    </bk>
    <bk>
      <extLst>
        <ext uri="{3e2802c4-a4d2-4d8b-9148-e3be6c30e623}">
          <xlrd:rvb i="1740"/>
        </ext>
      </extLst>
    </bk>
    <bk>
      <extLst>
        <ext uri="{3e2802c4-a4d2-4d8b-9148-e3be6c30e623}">
          <xlrd:rvb i="1741"/>
        </ext>
      </extLst>
    </bk>
    <bk>
      <extLst>
        <ext uri="{3e2802c4-a4d2-4d8b-9148-e3be6c30e623}">
          <xlrd:rvb i="1742"/>
        </ext>
      </extLst>
    </bk>
    <bk>
      <extLst>
        <ext uri="{3e2802c4-a4d2-4d8b-9148-e3be6c30e623}">
          <xlrd:rvb i="1743"/>
        </ext>
      </extLst>
    </bk>
    <bk>
      <extLst>
        <ext uri="{3e2802c4-a4d2-4d8b-9148-e3be6c30e623}">
          <xlrd:rvb i="1744"/>
        </ext>
      </extLst>
    </bk>
    <bk>
      <extLst>
        <ext uri="{3e2802c4-a4d2-4d8b-9148-e3be6c30e623}">
          <xlrd:rvb i="1745"/>
        </ext>
      </extLst>
    </bk>
    <bk>
      <extLst>
        <ext uri="{3e2802c4-a4d2-4d8b-9148-e3be6c30e623}">
          <xlrd:rvb i="1746"/>
        </ext>
      </extLst>
    </bk>
    <bk>
      <extLst>
        <ext uri="{3e2802c4-a4d2-4d8b-9148-e3be6c30e623}">
          <xlrd:rvb i="1747"/>
        </ext>
      </extLst>
    </bk>
    <bk>
      <extLst>
        <ext uri="{3e2802c4-a4d2-4d8b-9148-e3be6c30e623}">
          <xlrd:rvb i="1748"/>
        </ext>
      </extLst>
    </bk>
    <bk>
      <extLst>
        <ext uri="{3e2802c4-a4d2-4d8b-9148-e3be6c30e623}">
          <xlrd:rvb i="1749"/>
        </ext>
      </extLst>
    </bk>
    <bk>
      <extLst>
        <ext uri="{3e2802c4-a4d2-4d8b-9148-e3be6c30e623}">
          <xlrd:rvb i="1750"/>
        </ext>
      </extLst>
    </bk>
    <bk>
      <extLst>
        <ext uri="{3e2802c4-a4d2-4d8b-9148-e3be6c30e623}">
          <xlrd:rvb i="1751"/>
        </ext>
      </extLst>
    </bk>
    <bk>
      <extLst>
        <ext uri="{3e2802c4-a4d2-4d8b-9148-e3be6c30e623}">
          <xlrd:rvb i="1752"/>
        </ext>
      </extLst>
    </bk>
    <bk>
      <extLst>
        <ext uri="{3e2802c4-a4d2-4d8b-9148-e3be6c30e623}">
          <xlrd:rvb i="1753"/>
        </ext>
      </extLst>
    </bk>
    <bk>
      <extLst>
        <ext uri="{3e2802c4-a4d2-4d8b-9148-e3be6c30e623}">
          <xlrd:rvb i="1754"/>
        </ext>
      </extLst>
    </bk>
    <bk>
      <extLst>
        <ext uri="{3e2802c4-a4d2-4d8b-9148-e3be6c30e623}">
          <xlrd:rvb i="1755"/>
        </ext>
      </extLst>
    </bk>
    <bk>
      <extLst>
        <ext uri="{3e2802c4-a4d2-4d8b-9148-e3be6c30e623}">
          <xlrd:rvb i="1756"/>
        </ext>
      </extLst>
    </bk>
    <bk>
      <extLst>
        <ext uri="{3e2802c4-a4d2-4d8b-9148-e3be6c30e623}">
          <xlrd:rvb i="1757"/>
        </ext>
      </extLst>
    </bk>
    <bk>
      <extLst>
        <ext uri="{3e2802c4-a4d2-4d8b-9148-e3be6c30e623}">
          <xlrd:rvb i="1758"/>
        </ext>
      </extLst>
    </bk>
    <bk>
      <extLst>
        <ext uri="{3e2802c4-a4d2-4d8b-9148-e3be6c30e623}">
          <xlrd:rvb i="1759"/>
        </ext>
      </extLst>
    </bk>
    <bk>
      <extLst>
        <ext uri="{3e2802c4-a4d2-4d8b-9148-e3be6c30e623}">
          <xlrd:rvb i="1760"/>
        </ext>
      </extLst>
    </bk>
    <bk>
      <extLst>
        <ext uri="{3e2802c4-a4d2-4d8b-9148-e3be6c30e623}">
          <xlrd:rvb i="1761"/>
        </ext>
      </extLst>
    </bk>
    <bk>
      <extLst>
        <ext uri="{3e2802c4-a4d2-4d8b-9148-e3be6c30e623}">
          <xlrd:rvb i="1762"/>
        </ext>
      </extLst>
    </bk>
    <bk>
      <extLst>
        <ext uri="{3e2802c4-a4d2-4d8b-9148-e3be6c30e623}">
          <xlrd:rvb i="1763"/>
        </ext>
      </extLst>
    </bk>
    <bk>
      <extLst>
        <ext uri="{3e2802c4-a4d2-4d8b-9148-e3be6c30e623}">
          <xlrd:rvb i="1764"/>
        </ext>
      </extLst>
    </bk>
    <bk>
      <extLst>
        <ext uri="{3e2802c4-a4d2-4d8b-9148-e3be6c30e623}">
          <xlrd:rvb i="1765"/>
        </ext>
      </extLst>
    </bk>
    <bk>
      <extLst>
        <ext uri="{3e2802c4-a4d2-4d8b-9148-e3be6c30e623}">
          <xlrd:rvb i="1766"/>
        </ext>
      </extLst>
    </bk>
    <bk>
      <extLst>
        <ext uri="{3e2802c4-a4d2-4d8b-9148-e3be6c30e623}">
          <xlrd:rvb i="1767"/>
        </ext>
      </extLst>
    </bk>
    <bk>
      <extLst>
        <ext uri="{3e2802c4-a4d2-4d8b-9148-e3be6c30e623}">
          <xlrd:rvb i="1768"/>
        </ext>
      </extLst>
    </bk>
    <bk>
      <extLst>
        <ext uri="{3e2802c4-a4d2-4d8b-9148-e3be6c30e623}">
          <xlrd:rvb i="1769"/>
        </ext>
      </extLst>
    </bk>
    <bk>
      <extLst>
        <ext uri="{3e2802c4-a4d2-4d8b-9148-e3be6c30e623}">
          <xlrd:rvb i="1770"/>
        </ext>
      </extLst>
    </bk>
    <bk>
      <extLst>
        <ext uri="{3e2802c4-a4d2-4d8b-9148-e3be6c30e623}">
          <xlrd:rvb i="1771"/>
        </ext>
      </extLst>
    </bk>
    <bk>
      <extLst>
        <ext uri="{3e2802c4-a4d2-4d8b-9148-e3be6c30e623}">
          <xlrd:rvb i="1772"/>
        </ext>
      </extLst>
    </bk>
    <bk>
      <extLst>
        <ext uri="{3e2802c4-a4d2-4d8b-9148-e3be6c30e623}">
          <xlrd:rvb i="1773"/>
        </ext>
      </extLst>
    </bk>
    <bk>
      <extLst>
        <ext uri="{3e2802c4-a4d2-4d8b-9148-e3be6c30e623}">
          <xlrd:rvb i="1774"/>
        </ext>
      </extLst>
    </bk>
    <bk>
      <extLst>
        <ext uri="{3e2802c4-a4d2-4d8b-9148-e3be6c30e623}">
          <xlrd:rvb i="1775"/>
        </ext>
      </extLst>
    </bk>
    <bk>
      <extLst>
        <ext uri="{3e2802c4-a4d2-4d8b-9148-e3be6c30e623}">
          <xlrd:rvb i="1776"/>
        </ext>
      </extLst>
    </bk>
    <bk>
      <extLst>
        <ext uri="{3e2802c4-a4d2-4d8b-9148-e3be6c30e623}">
          <xlrd:rvb i="1777"/>
        </ext>
      </extLst>
    </bk>
    <bk>
      <extLst>
        <ext uri="{3e2802c4-a4d2-4d8b-9148-e3be6c30e623}">
          <xlrd:rvb i="1778"/>
        </ext>
      </extLst>
    </bk>
    <bk>
      <extLst>
        <ext uri="{3e2802c4-a4d2-4d8b-9148-e3be6c30e623}">
          <xlrd:rvb i="1779"/>
        </ext>
      </extLst>
    </bk>
    <bk>
      <extLst>
        <ext uri="{3e2802c4-a4d2-4d8b-9148-e3be6c30e623}">
          <xlrd:rvb i="1780"/>
        </ext>
      </extLst>
    </bk>
    <bk>
      <extLst>
        <ext uri="{3e2802c4-a4d2-4d8b-9148-e3be6c30e623}">
          <xlrd:rvb i="1781"/>
        </ext>
      </extLst>
    </bk>
    <bk>
      <extLst>
        <ext uri="{3e2802c4-a4d2-4d8b-9148-e3be6c30e623}">
          <xlrd:rvb i="1782"/>
        </ext>
      </extLst>
    </bk>
    <bk>
      <extLst>
        <ext uri="{3e2802c4-a4d2-4d8b-9148-e3be6c30e623}">
          <xlrd:rvb i="1783"/>
        </ext>
      </extLst>
    </bk>
    <bk>
      <extLst>
        <ext uri="{3e2802c4-a4d2-4d8b-9148-e3be6c30e623}">
          <xlrd:rvb i="1784"/>
        </ext>
      </extLst>
    </bk>
    <bk>
      <extLst>
        <ext uri="{3e2802c4-a4d2-4d8b-9148-e3be6c30e623}">
          <xlrd:rvb i="1785"/>
        </ext>
      </extLst>
    </bk>
    <bk>
      <extLst>
        <ext uri="{3e2802c4-a4d2-4d8b-9148-e3be6c30e623}">
          <xlrd:rvb i="1786"/>
        </ext>
      </extLst>
    </bk>
    <bk>
      <extLst>
        <ext uri="{3e2802c4-a4d2-4d8b-9148-e3be6c30e623}">
          <xlrd:rvb i="1787"/>
        </ext>
      </extLst>
    </bk>
    <bk>
      <extLst>
        <ext uri="{3e2802c4-a4d2-4d8b-9148-e3be6c30e623}">
          <xlrd:rvb i="1788"/>
        </ext>
      </extLst>
    </bk>
    <bk>
      <extLst>
        <ext uri="{3e2802c4-a4d2-4d8b-9148-e3be6c30e623}">
          <xlrd:rvb i="1789"/>
        </ext>
      </extLst>
    </bk>
    <bk>
      <extLst>
        <ext uri="{3e2802c4-a4d2-4d8b-9148-e3be6c30e623}">
          <xlrd:rvb i="1790"/>
        </ext>
      </extLst>
    </bk>
    <bk>
      <extLst>
        <ext uri="{3e2802c4-a4d2-4d8b-9148-e3be6c30e623}">
          <xlrd:rvb i="1791"/>
        </ext>
      </extLst>
    </bk>
    <bk>
      <extLst>
        <ext uri="{3e2802c4-a4d2-4d8b-9148-e3be6c30e623}">
          <xlrd:rvb i="1792"/>
        </ext>
      </extLst>
    </bk>
    <bk>
      <extLst>
        <ext uri="{3e2802c4-a4d2-4d8b-9148-e3be6c30e623}">
          <xlrd:rvb i="1793"/>
        </ext>
      </extLst>
    </bk>
    <bk>
      <extLst>
        <ext uri="{3e2802c4-a4d2-4d8b-9148-e3be6c30e623}">
          <xlrd:rvb i="1794"/>
        </ext>
      </extLst>
    </bk>
    <bk>
      <extLst>
        <ext uri="{3e2802c4-a4d2-4d8b-9148-e3be6c30e623}">
          <xlrd:rvb i="1795"/>
        </ext>
      </extLst>
    </bk>
    <bk>
      <extLst>
        <ext uri="{3e2802c4-a4d2-4d8b-9148-e3be6c30e623}">
          <xlrd:rvb i="1796"/>
        </ext>
      </extLst>
    </bk>
    <bk>
      <extLst>
        <ext uri="{3e2802c4-a4d2-4d8b-9148-e3be6c30e623}">
          <xlrd:rvb i="1797"/>
        </ext>
      </extLst>
    </bk>
    <bk>
      <extLst>
        <ext uri="{3e2802c4-a4d2-4d8b-9148-e3be6c30e623}">
          <xlrd:rvb i="1798"/>
        </ext>
      </extLst>
    </bk>
    <bk>
      <extLst>
        <ext uri="{3e2802c4-a4d2-4d8b-9148-e3be6c30e623}">
          <xlrd:rvb i="1799"/>
        </ext>
      </extLst>
    </bk>
    <bk>
      <extLst>
        <ext uri="{3e2802c4-a4d2-4d8b-9148-e3be6c30e623}">
          <xlrd:rvb i="1800"/>
        </ext>
      </extLst>
    </bk>
    <bk>
      <extLst>
        <ext uri="{3e2802c4-a4d2-4d8b-9148-e3be6c30e623}">
          <xlrd:rvb i="1801"/>
        </ext>
      </extLst>
    </bk>
    <bk>
      <extLst>
        <ext uri="{3e2802c4-a4d2-4d8b-9148-e3be6c30e623}">
          <xlrd:rvb i="1802"/>
        </ext>
      </extLst>
    </bk>
    <bk>
      <extLst>
        <ext uri="{3e2802c4-a4d2-4d8b-9148-e3be6c30e623}">
          <xlrd:rvb i="1803"/>
        </ext>
      </extLst>
    </bk>
    <bk>
      <extLst>
        <ext uri="{3e2802c4-a4d2-4d8b-9148-e3be6c30e623}">
          <xlrd:rvb i="1804"/>
        </ext>
      </extLst>
    </bk>
    <bk>
      <extLst>
        <ext uri="{3e2802c4-a4d2-4d8b-9148-e3be6c30e623}">
          <xlrd:rvb i="1805"/>
        </ext>
      </extLst>
    </bk>
    <bk>
      <extLst>
        <ext uri="{3e2802c4-a4d2-4d8b-9148-e3be6c30e623}">
          <xlrd:rvb i="1806"/>
        </ext>
      </extLst>
    </bk>
    <bk>
      <extLst>
        <ext uri="{3e2802c4-a4d2-4d8b-9148-e3be6c30e623}">
          <xlrd:rvb i="1807"/>
        </ext>
      </extLst>
    </bk>
    <bk>
      <extLst>
        <ext uri="{3e2802c4-a4d2-4d8b-9148-e3be6c30e623}">
          <xlrd:rvb i="1808"/>
        </ext>
      </extLst>
    </bk>
    <bk>
      <extLst>
        <ext uri="{3e2802c4-a4d2-4d8b-9148-e3be6c30e623}">
          <xlrd:rvb i="1809"/>
        </ext>
      </extLst>
    </bk>
    <bk>
      <extLst>
        <ext uri="{3e2802c4-a4d2-4d8b-9148-e3be6c30e623}">
          <xlrd:rvb i="1810"/>
        </ext>
      </extLst>
    </bk>
    <bk>
      <extLst>
        <ext uri="{3e2802c4-a4d2-4d8b-9148-e3be6c30e623}">
          <xlrd:rvb i="1811"/>
        </ext>
      </extLst>
    </bk>
    <bk>
      <extLst>
        <ext uri="{3e2802c4-a4d2-4d8b-9148-e3be6c30e623}">
          <xlrd:rvb i="1812"/>
        </ext>
      </extLst>
    </bk>
    <bk>
      <extLst>
        <ext uri="{3e2802c4-a4d2-4d8b-9148-e3be6c30e623}">
          <xlrd:rvb i="1813"/>
        </ext>
      </extLst>
    </bk>
    <bk>
      <extLst>
        <ext uri="{3e2802c4-a4d2-4d8b-9148-e3be6c30e623}">
          <xlrd:rvb i="1814"/>
        </ext>
      </extLst>
    </bk>
    <bk>
      <extLst>
        <ext uri="{3e2802c4-a4d2-4d8b-9148-e3be6c30e623}">
          <xlrd:rvb i="1815"/>
        </ext>
      </extLst>
    </bk>
    <bk>
      <extLst>
        <ext uri="{3e2802c4-a4d2-4d8b-9148-e3be6c30e623}">
          <xlrd:rvb i="1816"/>
        </ext>
      </extLst>
    </bk>
    <bk>
      <extLst>
        <ext uri="{3e2802c4-a4d2-4d8b-9148-e3be6c30e623}">
          <xlrd:rvb i="1817"/>
        </ext>
      </extLst>
    </bk>
    <bk>
      <extLst>
        <ext uri="{3e2802c4-a4d2-4d8b-9148-e3be6c30e623}">
          <xlrd:rvb i="1818"/>
        </ext>
      </extLst>
    </bk>
    <bk>
      <extLst>
        <ext uri="{3e2802c4-a4d2-4d8b-9148-e3be6c30e623}">
          <xlrd:rvb i="1819"/>
        </ext>
      </extLst>
    </bk>
    <bk>
      <extLst>
        <ext uri="{3e2802c4-a4d2-4d8b-9148-e3be6c30e623}">
          <xlrd:rvb i="1820"/>
        </ext>
      </extLst>
    </bk>
    <bk>
      <extLst>
        <ext uri="{3e2802c4-a4d2-4d8b-9148-e3be6c30e623}">
          <xlrd:rvb i="1821"/>
        </ext>
      </extLst>
    </bk>
    <bk>
      <extLst>
        <ext uri="{3e2802c4-a4d2-4d8b-9148-e3be6c30e623}">
          <xlrd:rvb i="1822"/>
        </ext>
      </extLst>
    </bk>
    <bk>
      <extLst>
        <ext uri="{3e2802c4-a4d2-4d8b-9148-e3be6c30e623}">
          <xlrd:rvb i="1823"/>
        </ext>
      </extLst>
    </bk>
    <bk>
      <extLst>
        <ext uri="{3e2802c4-a4d2-4d8b-9148-e3be6c30e623}">
          <xlrd:rvb i="1824"/>
        </ext>
      </extLst>
    </bk>
    <bk>
      <extLst>
        <ext uri="{3e2802c4-a4d2-4d8b-9148-e3be6c30e623}">
          <xlrd:rvb i="1825"/>
        </ext>
      </extLst>
    </bk>
    <bk>
      <extLst>
        <ext uri="{3e2802c4-a4d2-4d8b-9148-e3be6c30e623}">
          <xlrd:rvb i="1826"/>
        </ext>
      </extLst>
    </bk>
    <bk>
      <extLst>
        <ext uri="{3e2802c4-a4d2-4d8b-9148-e3be6c30e623}">
          <xlrd:rvb i="1827"/>
        </ext>
      </extLst>
    </bk>
    <bk>
      <extLst>
        <ext uri="{3e2802c4-a4d2-4d8b-9148-e3be6c30e623}">
          <xlrd:rvb i="1828"/>
        </ext>
      </extLst>
    </bk>
    <bk>
      <extLst>
        <ext uri="{3e2802c4-a4d2-4d8b-9148-e3be6c30e623}">
          <xlrd:rvb i="1829"/>
        </ext>
      </extLst>
    </bk>
    <bk>
      <extLst>
        <ext uri="{3e2802c4-a4d2-4d8b-9148-e3be6c30e623}">
          <xlrd:rvb i="1830"/>
        </ext>
      </extLst>
    </bk>
    <bk>
      <extLst>
        <ext uri="{3e2802c4-a4d2-4d8b-9148-e3be6c30e623}">
          <xlrd:rvb i="1831"/>
        </ext>
      </extLst>
    </bk>
    <bk>
      <extLst>
        <ext uri="{3e2802c4-a4d2-4d8b-9148-e3be6c30e623}">
          <xlrd:rvb i="1832"/>
        </ext>
      </extLst>
    </bk>
    <bk>
      <extLst>
        <ext uri="{3e2802c4-a4d2-4d8b-9148-e3be6c30e623}">
          <xlrd:rvb i="1833"/>
        </ext>
      </extLst>
    </bk>
    <bk>
      <extLst>
        <ext uri="{3e2802c4-a4d2-4d8b-9148-e3be6c30e623}">
          <xlrd:rvb i="1834"/>
        </ext>
      </extLst>
    </bk>
    <bk>
      <extLst>
        <ext uri="{3e2802c4-a4d2-4d8b-9148-e3be6c30e623}">
          <xlrd:rvb i="1835"/>
        </ext>
      </extLst>
    </bk>
    <bk>
      <extLst>
        <ext uri="{3e2802c4-a4d2-4d8b-9148-e3be6c30e623}">
          <xlrd:rvb i="1836"/>
        </ext>
      </extLst>
    </bk>
    <bk>
      <extLst>
        <ext uri="{3e2802c4-a4d2-4d8b-9148-e3be6c30e623}">
          <xlrd:rvb i="1837"/>
        </ext>
      </extLst>
    </bk>
    <bk>
      <extLst>
        <ext uri="{3e2802c4-a4d2-4d8b-9148-e3be6c30e623}">
          <xlrd:rvb i="1838"/>
        </ext>
      </extLst>
    </bk>
    <bk>
      <extLst>
        <ext uri="{3e2802c4-a4d2-4d8b-9148-e3be6c30e623}">
          <xlrd:rvb i="1839"/>
        </ext>
      </extLst>
    </bk>
    <bk>
      <extLst>
        <ext uri="{3e2802c4-a4d2-4d8b-9148-e3be6c30e623}">
          <xlrd:rvb i="1840"/>
        </ext>
      </extLst>
    </bk>
    <bk>
      <extLst>
        <ext uri="{3e2802c4-a4d2-4d8b-9148-e3be6c30e623}">
          <xlrd:rvb i="1841"/>
        </ext>
      </extLst>
    </bk>
    <bk>
      <extLst>
        <ext uri="{3e2802c4-a4d2-4d8b-9148-e3be6c30e623}">
          <xlrd:rvb i="1842"/>
        </ext>
      </extLst>
    </bk>
    <bk>
      <extLst>
        <ext uri="{3e2802c4-a4d2-4d8b-9148-e3be6c30e623}">
          <xlrd:rvb i="1843"/>
        </ext>
      </extLst>
    </bk>
    <bk>
      <extLst>
        <ext uri="{3e2802c4-a4d2-4d8b-9148-e3be6c30e623}">
          <xlrd:rvb i="1844"/>
        </ext>
      </extLst>
    </bk>
    <bk>
      <extLst>
        <ext uri="{3e2802c4-a4d2-4d8b-9148-e3be6c30e623}">
          <xlrd:rvb i="1845"/>
        </ext>
      </extLst>
    </bk>
    <bk>
      <extLst>
        <ext uri="{3e2802c4-a4d2-4d8b-9148-e3be6c30e623}">
          <xlrd:rvb i="1846"/>
        </ext>
      </extLst>
    </bk>
    <bk>
      <extLst>
        <ext uri="{3e2802c4-a4d2-4d8b-9148-e3be6c30e623}">
          <xlrd:rvb i="1847"/>
        </ext>
      </extLst>
    </bk>
    <bk>
      <extLst>
        <ext uri="{3e2802c4-a4d2-4d8b-9148-e3be6c30e623}">
          <xlrd:rvb i="1848"/>
        </ext>
      </extLst>
    </bk>
    <bk>
      <extLst>
        <ext uri="{3e2802c4-a4d2-4d8b-9148-e3be6c30e623}">
          <xlrd:rvb i="1849"/>
        </ext>
      </extLst>
    </bk>
    <bk>
      <extLst>
        <ext uri="{3e2802c4-a4d2-4d8b-9148-e3be6c30e623}">
          <xlrd:rvb i="1850"/>
        </ext>
      </extLst>
    </bk>
    <bk>
      <extLst>
        <ext uri="{3e2802c4-a4d2-4d8b-9148-e3be6c30e623}">
          <xlrd:rvb i="1851"/>
        </ext>
      </extLst>
    </bk>
    <bk>
      <extLst>
        <ext uri="{3e2802c4-a4d2-4d8b-9148-e3be6c30e623}">
          <xlrd:rvb i="1852"/>
        </ext>
      </extLst>
    </bk>
    <bk>
      <extLst>
        <ext uri="{3e2802c4-a4d2-4d8b-9148-e3be6c30e623}">
          <xlrd:rvb i="1853"/>
        </ext>
      </extLst>
    </bk>
    <bk>
      <extLst>
        <ext uri="{3e2802c4-a4d2-4d8b-9148-e3be6c30e623}">
          <xlrd:rvb i="1854"/>
        </ext>
      </extLst>
    </bk>
    <bk>
      <extLst>
        <ext uri="{3e2802c4-a4d2-4d8b-9148-e3be6c30e623}">
          <xlrd:rvb i="1855"/>
        </ext>
      </extLst>
    </bk>
    <bk>
      <extLst>
        <ext uri="{3e2802c4-a4d2-4d8b-9148-e3be6c30e623}">
          <xlrd:rvb i="1856"/>
        </ext>
      </extLst>
    </bk>
    <bk>
      <extLst>
        <ext uri="{3e2802c4-a4d2-4d8b-9148-e3be6c30e623}">
          <xlrd:rvb i="1857"/>
        </ext>
      </extLst>
    </bk>
    <bk>
      <extLst>
        <ext uri="{3e2802c4-a4d2-4d8b-9148-e3be6c30e623}">
          <xlrd:rvb i="1858"/>
        </ext>
      </extLst>
    </bk>
    <bk>
      <extLst>
        <ext uri="{3e2802c4-a4d2-4d8b-9148-e3be6c30e623}">
          <xlrd:rvb i="1859"/>
        </ext>
      </extLst>
    </bk>
    <bk>
      <extLst>
        <ext uri="{3e2802c4-a4d2-4d8b-9148-e3be6c30e623}">
          <xlrd:rvb i="1860"/>
        </ext>
      </extLst>
    </bk>
    <bk>
      <extLst>
        <ext uri="{3e2802c4-a4d2-4d8b-9148-e3be6c30e623}">
          <xlrd:rvb i="1861"/>
        </ext>
      </extLst>
    </bk>
    <bk>
      <extLst>
        <ext uri="{3e2802c4-a4d2-4d8b-9148-e3be6c30e623}">
          <xlrd:rvb i="1862"/>
        </ext>
      </extLst>
    </bk>
    <bk>
      <extLst>
        <ext uri="{3e2802c4-a4d2-4d8b-9148-e3be6c30e623}">
          <xlrd:rvb i="1863"/>
        </ext>
      </extLst>
    </bk>
    <bk>
      <extLst>
        <ext uri="{3e2802c4-a4d2-4d8b-9148-e3be6c30e623}">
          <xlrd:rvb i="1864"/>
        </ext>
      </extLst>
    </bk>
    <bk>
      <extLst>
        <ext uri="{3e2802c4-a4d2-4d8b-9148-e3be6c30e623}">
          <xlrd:rvb i="1865"/>
        </ext>
      </extLst>
    </bk>
    <bk>
      <extLst>
        <ext uri="{3e2802c4-a4d2-4d8b-9148-e3be6c30e623}">
          <xlrd:rvb i="1866"/>
        </ext>
      </extLst>
    </bk>
    <bk>
      <extLst>
        <ext uri="{3e2802c4-a4d2-4d8b-9148-e3be6c30e623}">
          <xlrd:rvb i="1867"/>
        </ext>
      </extLst>
    </bk>
    <bk>
      <extLst>
        <ext uri="{3e2802c4-a4d2-4d8b-9148-e3be6c30e623}">
          <xlrd:rvb i="1868"/>
        </ext>
      </extLst>
    </bk>
    <bk>
      <extLst>
        <ext uri="{3e2802c4-a4d2-4d8b-9148-e3be6c30e623}">
          <xlrd:rvb i="1869"/>
        </ext>
      </extLst>
    </bk>
    <bk>
      <extLst>
        <ext uri="{3e2802c4-a4d2-4d8b-9148-e3be6c30e623}">
          <xlrd:rvb i="1870"/>
        </ext>
      </extLst>
    </bk>
    <bk>
      <extLst>
        <ext uri="{3e2802c4-a4d2-4d8b-9148-e3be6c30e623}">
          <xlrd:rvb i="1871"/>
        </ext>
      </extLst>
    </bk>
    <bk>
      <extLst>
        <ext uri="{3e2802c4-a4d2-4d8b-9148-e3be6c30e623}">
          <xlrd:rvb i="1872"/>
        </ext>
      </extLst>
    </bk>
    <bk>
      <extLst>
        <ext uri="{3e2802c4-a4d2-4d8b-9148-e3be6c30e623}">
          <xlrd:rvb i="1873"/>
        </ext>
      </extLst>
    </bk>
    <bk>
      <extLst>
        <ext uri="{3e2802c4-a4d2-4d8b-9148-e3be6c30e623}">
          <xlrd:rvb i="1874"/>
        </ext>
      </extLst>
    </bk>
    <bk>
      <extLst>
        <ext uri="{3e2802c4-a4d2-4d8b-9148-e3be6c30e623}">
          <xlrd:rvb i="1875"/>
        </ext>
      </extLst>
    </bk>
    <bk>
      <extLst>
        <ext uri="{3e2802c4-a4d2-4d8b-9148-e3be6c30e623}">
          <xlrd:rvb i="1876"/>
        </ext>
      </extLst>
    </bk>
    <bk>
      <extLst>
        <ext uri="{3e2802c4-a4d2-4d8b-9148-e3be6c30e623}">
          <xlrd:rvb i="1877"/>
        </ext>
      </extLst>
    </bk>
    <bk>
      <extLst>
        <ext uri="{3e2802c4-a4d2-4d8b-9148-e3be6c30e623}">
          <xlrd:rvb i="1878"/>
        </ext>
      </extLst>
    </bk>
    <bk>
      <extLst>
        <ext uri="{3e2802c4-a4d2-4d8b-9148-e3be6c30e623}">
          <xlrd:rvb i="1879"/>
        </ext>
      </extLst>
    </bk>
    <bk>
      <extLst>
        <ext uri="{3e2802c4-a4d2-4d8b-9148-e3be6c30e623}">
          <xlrd:rvb i="1880"/>
        </ext>
      </extLst>
    </bk>
    <bk>
      <extLst>
        <ext uri="{3e2802c4-a4d2-4d8b-9148-e3be6c30e623}">
          <xlrd:rvb i="1881"/>
        </ext>
      </extLst>
    </bk>
    <bk>
      <extLst>
        <ext uri="{3e2802c4-a4d2-4d8b-9148-e3be6c30e623}">
          <xlrd:rvb i="1882"/>
        </ext>
      </extLst>
    </bk>
    <bk>
      <extLst>
        <ext uri="{3e2802c4-a4d2-4d8b-9148-e3be6c30e623}">
          <xlrd:rvb i="1883"/>
        </ext>
      </extLst>
    </bk>
    <bk>
      <extLst>
        <ext uri="{3e2802c4-a4d2-4d8b-9148-e3be6c30e623}">
          <xlrd:rvb i="1884"/>
        </ext>
      </extLst>
    </bk>
    <bk>
      <extLst>
        <ext uri="{3e2802c4-a4d2-4d8b-9148-e3be6c30e623}">
          <xlrd:rvb i="1885"/>
        </ext>
      </extLst>
    </bk>
    <bk>
      <extLst>
        <ext uri="{3e2802c4-a4d2-4d8b-9148-e3be6c30e623}">
          <xlrd:rvb i="1886"/>
        </ext>
      </extLst>
    </bk>
    <bk>
      <extLst>
        <ext uri="{3e2802c4-a4d2-4d8b-9148-e3be6c30e623}">
          <xlrd:rvb i="1887"/>
        </ext>
      </extLst>
    </bk>
    <bk>
      <extLst>
        <ext uri="{3e2802c4-a4d2-4d8b-9148-e3be6c30e623}">
          <xlrd:rvb i="1888"/>
        </ext>
      </extLst>
    </bk>
    <bk>
      <extLst>
        <ext uri="{3e2802c4-a4d2-4d8b-9148-e3be6c30e623}">
          <xlrd:rvb i="1889"/>
        </ext>
      </extLst>
    </bk>
    <bk>
      <extLst>
        <ext uri="{3e2802c4-a4d2-4d8b-9148-e3be6c30e623}">
          <xlrd:rvb i="1890"/>
        </ext>
      </extLst>
    </bk>
    <bk>
      <extLst>
        <ext uri="{3e2802c4-a4d2-4d8b-9148-e3be6c30e623}">
          <xlrd:rvb i="1891"/>
        </ext>
      </extLst>
    </bk>
    <bk>
      <extLst>
        <ext uri="{3e2802c4-a4d2-4d8b-9148-e3be6c30e623}">
          <xlrd:rvb i="1892"/>
        </ext>
      </extLst>
    </bk>
    <bk>
      <extLst>
        <ext uri="{3e2802c4-a4d2-4d8b-9148-e3be6c30e623}">
          <xlrd:rvb i="1893"/>
        </ext>
      </extLst>
    </bk>
    <bk>
      <extLst>
        <ext uri="{3e2802c4-a4d2-4d8b-9148-e3be6c30e623}">
          <xlrd:rvb i="1894"/>
        </ext>
      </extLst>
    </bk>
    <bk>
      <extLst>
        <ext uri="{3e2802c4-a4d2-4d8b-9148-e3be6c30e623}">
          <xlrd:rvb i="1895"/>
        </ext>
      </extLst>
    </bk>
    <bk>
      <extLst>
        <ext uri="{3e2802c4-a4d2-4d8b-9148-e3be6c30e623}">
          <xlrd:rvb i="1896"/>
        </ext>
      </extLst>
    </bk>
    <bk>
      <extLst>
        <ext uri="{3e2802c4-a4d2-4d8b-9148-e3be6c30e623}">
          <xlrd:rvb i="1897"/>
        </ext>
      </extLst>
    </bk>
    <bk>
      <extLst>
        <ext uri="{3e2802c4-a4d2-4d8b-9148-e3be6c30e623}">
          <xlrd:rvb i="1898"/>
        </ext>
      </extLst>
    </bk>
    <bk>
      <extLst>
        <ext uri="{3e2802c4-a4d2-4d8b-9148-e3be6c30e623}">
          <xlrd:rvb i="1899"/>
        </ext>
      </extLst>
    </bk>
    <bk>
      <extLst>
        <ext uri="{3e2802c4-a4d2-4d8b-9148-e3be6c30e623}">
          <xlrd:rvb i="1900"/>
        </ext>
      </extLst>
    </bk>
    <bk>
      <extLst>
        <ext uri="{3e2802c4-a4d2-4d8b-9148-e3be6c30e623}">
          <xlrd:rvb i="1901"/>
        </ext>
      </extLst>
    </bk>
    <bk>
      <extLst>
        <ext uri="{3e2802c4-a4d2-4d8b-9148-e3be6c30e623}">
          <xlrd:rvb i="1902"/>
        </ext>
      </extLst>
    </bk>
    <bk>
      <extLst>
        <ext uri="{3e2802c4-a4d2-4d8b-9148-e3be6c30e623}">
          <xlrd:rvb i="1903"/>
        </ext>
      </extLst>
    </bk>
    <bk>
      <extLst>
        <ext uri="{3e2802c4-a4d2-4d8b-9148-e3be6c30e623}">
          <xlrd:rvb i="1904"/>
        </ext>
      </extLst>
    </bk>
    <bk>
      <extLst>
        <ext uri="{3e2802c4-a4d2-4d8b-9148-e3be6c30e623}">
          <xlrd:rvb i="1905"/>
        </ext>
      </extLst>
    </bk>
    <bk>
      <extLst>
        <ext uri="{3e2802c4-a4d2-4d8b-9148-e3be6c30e623}">
          <xlrd:rvb i="1906"/>
        </ext>
      </extLst>
    </bk>
    <bk>
      <extLst>
        <ext uri="{3e2802c4-a4d2-4d8b-9148-e3be6c30e623}">
          <xlrd:rvb i="1907"/>
        </ext>
      </extLst>
    </bk>
    <bk>
      <extLst>
        <ext uri="{3e2802c4-a4d2-4d8b-9148-e3be6c30e623}">
          <xlrd:rvb i="1908"/>
        </ext>
      </extLst>
    </bk>
    <bk>
      <extLst>
        <ext uri="{3e2802c4-a4d2-4d8b-9148-e3be6c30e623}">
          <xlrd:rvb i="1909"/>
        </ext>
      </extLst>
    </bk>
    <bk>
      <extLst>
        <ext uri="{3e2802c4-a4d2-4d8b-9148-e3be6c30e623}">
          <xlrd:rvb i="1910"/>
        </ext>
      </extLst>
    </bk>
    <bk>
      <extLst>
        <ext uri="{3e2802c4-a4d2-4d8b-9148-e3be6c30e623}">
          <xlrd:rvb i="1911"/>
        </ext>
      </extLst>
    </bk>
    <bk>
      <extLst>
        <ext uri="{3e2802c4-a4d2-4d8b-9148-e3be6c30e623}">
          <xlrd:rvb i="1912"/>
        </ext>
      </extLst>
    </bk>
    <bk>
      <extLst>
        <ext uri="{3e2802c4-a4d2-4d8b-9148-e3be6c30e623}">
          <xlrd:rvb i="1913"/>
        </ext>
      </extLst>
    </bk>
    <bk>
      <extLst>
        <ext uri="{3e2802c4-a4d2-4d8b-9148-e3be6c30e623}">
          <xlrd:rvb i="1914"/>
        </ext>
      </extLst>
    </bk>
    <bk>
      <extLst>
        <ext uri="{3e2802c4-a4d2-4d8b-9148-e3be6c30e623}">
          <xlrd:rvb i="1915"/>
        </ext>
      </extLst>
    </bk>
    <bk>
      <extLst>
        <ext uri="{3e2802c4-a4d2-4d8b-9148-e3be6c30e623}">
          <xlrd:rvb i="1916"/>
        </ext>
      </extLst>
    </bk>
    <bk>
      <extLst>
        <ext uri="{3e2802c4-a4d2-4d8b-9148-e3be6c30e623}">
          <xlrd:rvb i="1917"/>
        </ext>
      </extLst>
    </bk>
    <bk>
      <extLst>
        <ext uri="{3e2802c4-a4d2-4d8b-9148-e3be6c30e623}">
          <xlrd:rvb i="1918"/>
        </ext>
      </extLst>
    </bk>
    <bk>
      <extLst>
        <ext uri="{3e2802c4-a4d2-4d8b-9148-e3be6c30e623}">
          <xlrd:rvb i="1919"/>
        </ext>
      </extLst>
    </bk>
    <bk>
      <extLst>
        <ext uri="{3e2802c4-a4d2-4d8b-9148-e3be6c30e623}">
          <xlrd:rvb i="1920"/>
        </ext>
      </extLst>
    </bk>
    <bk>
      <extLst>
        <ext uri="{3e2802c4-a4d2-4d8b-9148-e3be6c30e623}">
          <xlrd:rvb i="1921"/>
        </ext>
      </extLst>
    </bk>
    <bk>
      <extLst>
        <ext uri="{3e2802c4-a4d2-4d8b-9148-e3be6c30e623}">
          <xlrd:rvb i="1922"/>
        </ext>
      </extLst>
    </bk>
    <bk>
      <extLst>
        <ext uri="{3e2802c4-a4d2-4d8b-9148-e3be6c30e623}">
          <xlrd:rvb i="1923"/>
        </ext>
      </extLst>
    </bk>
    <bk>
      <extLst>
        <ext uri="{3e2802c4-a4d2-4d8b-9148-e3be6c30e623}">
          <xlrd:rvb i="1924"/>
        </ext>
      </extLst>
    </bk>
    <bk>
      <extLst>
        <ext uri="{3e2802c4-a4d2-4d8b-9148-e3be6c30e623}">
          <xlrd:rvb i="1925"/>
        </ext>
      </extLst>
    </bk>
    <bk>
      <extLst>
        <ext uri="{3e2802c4-a4d2-4d8b-9148-e3be6c30e623}">
          <xlrd:rvb i="1926"/>
        </ext>
      </extLst>
    </bk>
    <bk>
      <extLst>
        <ext uri="{3e2802c4-a4d2-4d8b-9148-e3be6c30e623}">
          <xlrd:rvb i="1927"/>
        </ext>
      </extLst>
    </bk>
    <bk>
      <extLst>
        <ext uri="{3e2802c4-a4d2-4d8b-9148-e3be6c30e623}">
          <xlrd:rvb i="1928"/>
        </ext>
      </extLst>
    </bk>
    <bk>
      <extLst>
        <ext uri="{3e2802c4-a4d2-4d8b-9148-e3be6c30e623}">
          <xlrd:rvb i="1929"/>
        </ext>
      </extLst>
    </bk>
    <bk>
      <extLst>
        <ext uri="{3e2802c4-a4d2-4d8b-9148-e3be6c30e623}">
          <xlrd:rvb i="1930"/>
        </ext>
      </extLst>
    </bk>
    <bk>
      <extLst>
        <ext uri="{3e2802c4-a4d2-4d8b-9148-e3be6c30e623}">
          <xlrd:rvb i="1931"/>
        </ext>
      </extLst>
    </bk>
    <bk>
      <extLst>
        <ext uri="{3e2802c4-a4d2-4d8b-9148-e3be6c30e623}">
          <xlrd:rvb i="1932"/>
        </ext>
      </extLst>
    </bk>
    <bk>
      <extLst>
        <ext uri="{3e2802c4-a4d2-4d8b-9148-e3be6c30e623}">
          <xlrd:rvb i="1933"/>
        </ext>
      </extLst>
    </bk>
    <bk>
      <extLst>
        <ext uri="{3e2802c4-a4d2-4d8b-9148-e3be6c30e623}">
          <xlrd:rvb i="1934"/>
        </ext>
      </extLst>
    </bk>
    <bk>
      <extLst>
        <ext uri="{3e2802c4-a4d2-4d8b-9148-e3be6c30e623}">
          <xlrd:rvb i="1935"/>
        </ext>
      </extLst>
    </bk>
    <bk>
      <extLst>
        <ext uri="{3e2802c4-a4d2-4d8b-9148-e3be6c30e623}">
          <xlrd:rvb i="1936"/>
        </ext>
      </extLst>
    </bk>
    <bk>
      <extLst>
        <ext uri="{3e2802c4-a4d2-4d8b-9148-e3be6c30e623}">
          <xlrd:rvb i="1937"/>
        </ext>
      </extLst>
    </bk>
    <bk>
      <extLst>
        <ext uri="{3e2802c4-a4d2-4d8b-9148-e3be6c30e623}">
          <xlrd:rvb i="1938"/>
        </ext>
      </extLst>
    </bk>
    <bk>
      <extLst>
        <ext uri="{3e2802c4-a4d2-4d8b-9148-e3be6c30e623}">
          <xlrd:rvb i="1939"/>
        </ext>
      </extLst>
    </bk>
    <bk>
      <extLst>
        <ext uri="{3e2802c4-a4d2-4d8b-9148-e3be6c30e623}">
          <xlrd:rvb i="1940"/>
        </ext>
      </extLst>
    </bk>
    <bk>
      <extLst>
        <ext uri="{3e2802c4-a4d2-4d8b-9148-e3be6c30e623}">
          <xlrd:rvb i="1941"/>
        </ext>
      </extLst>
    </bk>
    <bk>
      <extLst>
        <ext uri="{3e2802c4-a4d2-4d8b-9148-e3be6c30e623}">
          <xlrd:rvb i="1942"/>
        </ext>
      </extLst>
    </bk>
    <bk>
      <extLst>
        <ext uri="{3e2802c4-a4d2-4d8b-9148-e3be6c30e623}">
          <xlrd:rvb i="1943"/>
        </ext>
      </extLst>
    </bk>
    <bk>
      <extLst>
        <ext uri="{3e2802c4-a4d2-4d8b-9148-e3be6c30e623}">
          <xlrd:rvb i="1944"/>
        </ext>
      </extLst>
    </bk>
    <bk>
      <extLst>
        <ext uri="{3e2802c4-a4d2-4d8b-9148-e3be6c30e623}">
          <xlrd:rvb i="1945"/>
        </ext>
      </extLst>
    </bk>
    <bk>
      <extLst>
        <ext uri="{3e2802c4-a4d2-4d8b-9148-e3be6c30e623}">
          <xlrd:rvb i="1946"/>
        </ext>
      </extLst>
    </bk>
    <bk>
      <extLst>
        <ext uri="{3e2802c4-a4d2-4d8b-9148-e3be6c30e623}">
          <xlrd:rvb i="1947"/>
        </ext>
      </extLst>
    </bk>
    <bk>
      <extLst>
        <ext uri="{3e2802c4-a4d2-4d8b-9148-e3be6c30e623}">
          <xlrd:rvb i="1948"/>
        </ext>
      </extLst>
    </bk>
    <bk>
      <extLst>
        <ext uri="{3e2802c4-a4d2-4d8b-9148-e3be6c30e623}">
          <xlrd:rvb i="1949"/>
        </ext>
      </extLst>
    </bk>
    <bk>
      <extLst>
        <ext uri="{3e2802c4-a4d2-4d8b-9148-e3be6c30e623}">
          <xlrd:rvb i="1950"/>
        </ext>
      </extLst>
    </bk>
    <bk>
      <extLst>
        <ext uri="{3e2802c4-a4d2-4d8b-9148-e3be6c30e623}">
          <xlrd:rvb i="1951"/>
        </ext>
      </extLst>
    </bk>
    <bk>
      <extLst>
        <ext uri="{3e2802c4-a4d2-4d8b-9148-e3be6c30e623}">
          <xlrd:rvb i="1952"/>
        </ext>
      </extLst>
    </bk>
    <bk>
      <extLst>
        <ext uri="{3e2802c4-a4d2-4d8b-9148-e3be6c30e623}">
          <xlrd:rvb i="1953"/>
        </ext>
      </extLst>
    </bk>
    <bk>
      <extLst>
        <ext uri="{3e2802c4-a4d2-4d8b-9148-e3be6c30e623}">
          <xlrd:rvb i="1954"/>
        </ext>
      </extLst>
    </bk>
    <bk>
      <extLst>
        <ext uri="{3e2802c4-a4d2-4d8b-9148-e3be6c30e623}">
          <xlrd:rvb i="1955"/>
        </ext>
      </extLst>
    </bk>
    <bk>
      <extLst>
        <ext uri="{3e2802c4-a4d2-4d8b-9148-e3be6c30e623}">
          <xlrd:rvb i="1956"/>
        </ext>
      </extLst>
    </bk>
    <bk>
      <extLst>
        <ext uri="{3e2802c4-a4d2-4d8b-9148-e3be6c30e623}">
          <xlrd:rvb i="1957"/>
        </ext>
      </extLst>
    </bk>
    <bk>
      <extLst>
        <ext uri="{3e2802c4-a4d2-4d8b-9148-e3be6c30e623}">
          <xlrd:rvb i="1958"/>
        </ext>
      </extLst>
    </bk>
    <bk>
      <extLst>
        <ext uri="{3e2802c4-a4d2-4d8b-9148-e3be6c30e623}">
          <xlrd:rvb i="1959"/>
        </ext>
      </extLst>
    </bk>
    <bk>
      <extLst>
        <ext uri="{3e2802c4-a4d2-4d8b-9148-e3be6c30e623}">
          <xlrd:rvb i="1960"/>
        </ext>
      </extLst>
    </bk>
    <bk>
      <extLst>
        <ext uri="{3e2802c4-a4d2-4d8b-9148-e3be6c30e623}">
          <xlrd:rvb i="1961"/>
        </ext>
      </extLst>
    </bk>
    <bk>
      <extLst>
        <ext uri="{3e2802c4-a4d2-4d8b-9148-e3be6c30e623}">
          <xlrd:rvb i="1962"/>
        </ext>
      </extLst>
    </bk>
    <bk>
      <extLst>
        <ext uri="{3e2802c4-a4d2-4d8b-9148-e3be6c30e623}">
          <xlrd:rvb i="1963"/>
        </ext>
      </extLst>
    </bk>
    <bk>
      <extLst>
        <ext uri="{3e2802c4-a4d2-4d8b-9148-e3be6c30e623}">
          <xlrd:rvb i="1964"/>
        </ext>
      </extLst>
    </bk>
    <bk>
      <extLst>
        <ext uri="{3e2802c4-a4d2-4d8b-9148-e3be6c30e623}">
          <xlrd:rvb i="1965"/>
        </ext>
      </extLst>
    </bk>
    <bk>
      <extLst>
        <ext uri="{3e2802c4-a4d2-4d8b-9148-e3be6c30e623}">
          <xlrd:rvb i="1966"/>
        </ext>
      </extLst>
    </bk>
    <bk>
      <extLst>
        <ext uri="{3e2802c4-a4d2-4d8b-9148-e3be6c30e623}">
          <xlrd:rvb i="1967"/>
        </ext>
      </extLst>
    </bk>
    <bk>
      <extLst>
        <ext uri="{3e2802c4-a4d2-4d8b-9148-e3be6c30e623}">
          <xlrd:rvb i="1968"/>
        </ext>
      </extLst>
    </bk>
    <bk>
      <extLst>
        <ext uri="{3e2802c4-a4d2-4d8b-9148-e3be6c30e623}">
          <xlrd:rvb i="1969"/>
        </ext>
      </extLst>
    </bk>
    <bk>
      <extLst>
        <ext uri="{3e2802c4-a4d2-4d8b-9148-e3be6c30e623}">
          <xlrd:rvb i="1970"/>
        </ext>
      </extLst>
    </bk>
    <bk>
      <extLst>
        <ext uri="{3e2802c4-a4d2-4d8b-9148-e3be6c30e623}">
          <xlrd:rvb i="1971"/>
        </ext>
      </extLst>
    </bk>
    <bk>
      <extLst>
        <ext uri="{3e2802c4-a4d2-4d8b-9148-e3be6c30e623}">
          <xlrd:rvb i="1972"/>
        </ext>
      </extLst>
    </bk>
    <bk>
      <extLst>
        <ext uri="{3e2802c4-a4d2-4d8b-9148-e3be6c30e623}">
          <xlrd:rvb i="1973"/>
        </ext>
      </extLst>
    </bk>
    <bk>
      <extLst>
        <ext uri="{3e2802c4-a4d2-4d8b-9148-e3be6c30e623}">
          <xlrd:rvb i="1974"/>
        </ext>
      </extLst>
    </bk>
    <bk>
      <extLst>
        <ext uri="{3e2802c4-a4d2-4d8b-9148-e3be6c30e623}">
          <xlrd:rvb i="1975"/>
        </ext>
      </extLst>
    </bk>
    <bk>
      <extLst>
        <ext uri="{3e2802c4-a4d2-4d8b-9148-e3be6c30e623}">
          <xlrd:rvb i="1976"/>
        </ext>
      </extLst>
    </bk>
    <bk>
      <extLst>
        <ext uri="{3e2802c4-a4d2-4d8b-9148-e3be6c30e623}">
          <xlrd:rvb i="1977"/>
        </ext>
      </extLst>
    </bk>
    <bk>
      <extLst>
        <ext uri="{3e2802c4-a4d2-4d8b-9148-e3be6c30e623}">
          <xlrd:rvb i="1978"/>
        </ext>
      </extLst>
    </bk>
    <bk>
      <extLst>
        <ext uri="{3e2802c4-a4d2-4d8b-9148-e3be6c30e623}">
          <xlrd:rvb i="1979"/>
        </ext>
      </extLst>
    </bk>
    <bk>
      <extLst>
        <ext uri="{3e2802c4-a4d2-4d8b-9148-e3be6c30e623}">
          <xlrd:rvb i="1980"/>
        </ext>
      </extLst>
    </bk>
    <bk>
      <extLst>
        <ext uri="{3e2802c4-a4d2-4d8b-9148-e3be6c30e623}">
          <xlrd:rvb i="1981"/>
        </ext>
      </extLst>
    </bk>
    <bk>
      <extLst>
        <ext uri="{3e2802c4-a4d2-4d8b-9148-e3be6c30e623}">
          <xlrd:rvb i="1982"/>
        </ext>
      </extLst>
    </bk>
    <bk>
      <extLst>
        <ext uri="{3e2802c4-a4d2-4d8b-9148-e3be6c30e623}">
          <xlrd:rvb i="1983"/>
        </ext>
      </extLst>
    </bk>
    <bk>
      <extLst>
        <ext uri="{3e2802c4-a4d2-4d8b-9148-e3be6c30e623}">
          <xlrd:rvb i="1984"/>
        </ext>
      </extLst>
    </bk>
    <bk>
      <extLst>
        <ext uri="{3e2802c4-a4d2-4d8b-9148-e3be6c30e623}">
          <xlrd:rvb i="1985"/>
        </ext>
      </extLst>
    </bk>
    <bk>
      <extLst>
        <ext uri="{3e2802c4-a4d2-4d8b-9148-e3be6c30e623}">
          <xlrd:rvb i="1986"/>
        </ext>
      </extLst>
    </bk>
    <bk>
      <extLst>
        <ext uri="{3e2802c4-a4d2-4d8b-9148-e3be6c30e623}">
          <xlrd:rvb i="1987"/>
        </ext>
      </extLst>
    </bk>
    <bk>
      <extLst>
        <ext uri="{3e2802c4-a4d2-4d8b-9148-e3be6c30e623}">
          <xlrd:rvb i="1988"/>
        </ext>
      </extLst>
    </bk>
    <bk>
      <extLst>
        <ext uri="{3e2802c4-a4d2-4d8b-9148-e3be6c30e623}">
          <xlrd:rvb i="1989"/>
        </ext>
      </extLst>
    </bk>
    <bk>
      <extLst>
        <ext uri="{3e2802c4-a4d2-4d8b-9148-e3be6c30e623}">
          <xlrd:rvb i="1990"/>
        </ext>
      </extLst>
    </bk>
    <bk>
      <extLst>
        <ext uri="{3e2802c4-a4d2-4d8b-9148-e3be6c30e623}">
          <xlrd:rvb i="1991"/>
        </ext>
      </extLst>
    </bk>
    <bk>
      <extLst>
        <ext uri="{3e2802c4-a4d2-4d8b-9148-e3be6c30e623}">
          <xlrd:rvb i="1992"/>
        </ext>
      </extLst>
    </bk>
  </futureMetadata>
  <cellMetadata count="1">
    <bk>
      <rc t="1" v="0"/>
    </bk>
  </cellMetadata>
  <valueMetadata count="198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  <bk>
      <rc t="2" v="397"/>
    </bk>
    <bk>
      <rc t="2" v="398"/>
    </bk>
    <bk>
      <rc t="2" v="399"/>
    </bk>
    <bk>
      <rc t="2" v="400"/>
    </bk>
    <bk>
      <rc t="2" v="401"/>
    </bk>
    <bk>
      <rc t="2" v="402"/>
    </bk>
    <bk>
      <rc t="2" v="403"/>
    </bk>
    <bk>
      <rc t="2" v="404"/>
    </bk>
    <bk>
      <rc t="2" v="405"/>
    </bk>
    <bk>
      <rc t="2" v="406"/>
    </bk>
    <bk>
      <rc t="2" v="407"/>
    </bk>
    <bk>
      <rc t="2" v="408"/>
    </bk>
    <bk>
      <rc t="2" v="409"/>
    </bk>
    <bk>
      <rc t="2" v="410"/>
    </bk>
    <bk>
      <rc t="2" v="411"/>
    </bk>
    <bk>
      <rc t="2" v="412"/>
    </bk>
    <bk>
      <rc t="2" v="413"/>
    </bk>
    <bk>
      <rc t="2" v="414"/>
    </bk>
    <bk>
      <rc t="2" v="415"/>
    </bk>
    <bk>
      <rc t="2" v="416"/>
    </bk>
    <bk>
      <rc t="2" v="417"/>
    </bk>
    <bk>
      <rc t="2" v="418"/>
    </bk>
    <bk>
      <rc t="2" v="419"/>
    </bk>
    <bk>
      <rc t="2" v="420"/>
    </bk>
    <bk>
      <rc t="2" v="421"/>
    </bk>
    <bk>
      <rc t="2" v="422"/>
    </bk>
    <bk>
      <rc t="2" v="423"/>
    </bk>
    <bk>
      <rc t="2" v="424"/>
    </bk>
    <bk>
      <rc t="2" v="425"/>
    </bk>
    <bk>
      <rc t="2" v="426"/>
    </bk>
    <bk>
      <rc t="2" v="427"/>
    </bk>
    <bk>
      <rc t="2" v="428"/>
    </bk>
    <bk>
      <rc t="2" v="429"/>
    </bk>
    <bk>
      <rc t="2" v="430"/>
    </bk>
    <bk>
      <rc t="2" v="431"/>
    </bk>
    <bk>
      <rc t="2" v="432"/>
    </bk>
    <bk>
      <rc t="2" v="433"/>
    </bk>
    <bk>
      <rc t="2" v="434"/>
    </bk>
    <bk>
      <rc t="2" v="435"/>
    </bk>
    <bk>
      <rc t="2" v="436"/>
    </bk>
    <bk>
      <rc t="2" v="437"/>
    </bk>
    <bk>
      <rc t="2" v="438"/>
    </bk>
    <bk>
      <rc t="2" v="439"/>
    </bk>
    <bk>
      <rc t="2" v="440"/>
    </bk>
    <bk>
      <rc t="2" v="441"/>
    </bk>
    <bk>
      <rc t="2" v="442"/>
    </bk>
    <bk>
      <rc t="2" v="443"/>
    </bk>
    <bk>
      <rc t="2" v="444"/>
    </bk>
    <bk>
      <rc t="2" v="445"/>
    </bk>
    <bk>
      <rc t="2" v="446"/>
    </bk>
    <bk>
      <rc t="2" v="447"/>
    </bk>
    <bk>
      <rc t="2" v="448"/>
    </bk>
    <bk>
      <rc t="2" v="449"/>
    </bk>
    <bk>
      <rc t="2" v="450"/>
    </bk>
    <bk>
      <rc t="2" v="451"/>
    </bk>
    <bk>
      <rc t="2" v="452"/>
    </bk>
    <bk>
      <rc t="2" v="453"/>
    </bk>
    <bk>
      <rc t="2" v="454"/>
    </bk>
    <bk>
      <rc t="2" v="455"/>
    </bk>
    <bk>
      <rc t="2" v="456"/>
    </bk>
    <bk>
      <rc t="2" v="457"/>
    </bk>
    <bk>
      <rc t="2" v="458"/>
    </bk>
    <bk>
      <rc t="2" v="459"/>
    </bk>
    <bk>
      <rc t="2" v="460"/>
    </bk>
    <bk>
      <rc t="2" v="461"/>
    </bk>
    <bk>
      <rc t="2" v="462"/>
    </bk>
    <bk>
      <rc t="2" v="463"/>
    </bk>
    <bk>
      <rc t="2" v="464"/>
    </bk>
    <bk>
      <rc t="2" v="465"/>
    </bk>
    <bk>
      <rc t="2" v="466"/>
    </bk>
    <bk>
      <rc t="2" v="467"/>
    </bk>
    <bk>
      <rc t="2" v="468"/>
    </bk>
    <bk>
      <rc t="2" v="469"/>
    </bk>
    <bk>
      <rc t="2" v="470"/>
    </bk>
    <bk>
      <rc t="2" v="471"/>
    </bk>
    <bk>
      <rc t="2" v="472"/>
    </bk>
    <bk>
      <rc t="2" v="473"/>
    </bk>
    <bk>
      <rc t="2" v="474"/>
    </bk>
    <bk>
      <rc t="2" v="475"/>
    </bk>
    <bk>
      <rc t="2" v="476"/>
    </bk>
    <bk>
      <rc t="2" v="477"/>
    </bk>
    <bk>
      <rc t="2" v="478"/>
    </bk>
    <bk>
      <rc t="2" v="479"/>
    </bk>
    <bk>
      <rc t="2" v="480"/>
    </bk>
    <bk>
      <rc t="2" v="481"/>
    </bk>
    <bk>
      <rc t="2" v="482"/>
    </bk>
    <bk>
      <rc t="2" v="483"/>
    </bk>
    <bk>
      <rc t="2" v="484"/>
    </bk>
    <bk>
      <rc t="2" v="485"/>
    </bk>
    <bk>
      <rc t="2" v="486"/>
    </bk>
    <bk>
      <rc t="2" v="487"/>
    </bk>
    <bk>
      <rc t="2" v="488"/>
    </bk>
    <bk>
      <rc t="2" v="489"/>
    </bk>
    <bk>
      <rc t="2" v="490"/>
    </bk>
    <bk>
      <rc t="2" v="491"/>
    </bk>
    <bk>
      <rc t="2" v="492"/>
    </bk>
    <bk>
      <rc t="2" v="493"/>
    </bk>
    <bk>
      <rc t="2" v="494"/>
    </bk>
    <bk>
      <rc t="2" v="495"/>
    </bk>
    <bk>
      <rc t="2" v="496"/>
    </bk>
    <bk>
      <rc t="2" v="497"/>
    </bk>
    <bk>
      <rc t="2" v="498"/>
    </bk>
    <bk>
      <rc t="2" v="499"/>
    </bk>
    <bk>
      <rc t="2" v="500"/>
    </bk>
    <bk>
      <rc t="2" v="501"/>
    </bk>
    <bk>
      <rc t="2" v="502"/>
    </bk>
    <bk>
      <rc t="2" v="503"/>
    </bk>
    <bk>
      <rc t="2" v="504"/>
    </bk>
    <bk>
      <rc t="2" v="505"/>
    </bk>
    <bk>
      <rc t="2" v="506"/>
    </bk>
    <bk>
      <rc t="2" v="507"/>
    </bk>
    <bk>
      <rc t="2" v="508"/>
    </bk>
    <bk>
      <rc t="2" v="509"/>
    </bk>
    <bk>
      <rc t="2" v="510"/>
    </bk>
    <bk>
      <rc t="2" v="511"/>
    </bk>
    <bk>
      <rc t="2" v="512"/>
    </bk>
    <bk>
      <rc t="2" v="513"/>
    </bk>
    <bk>
      <rc t="2" v="514"/>
    </bk>
    <bk>
      <rc t="2" v="515"/>
    </bk>
    <bk>
      <rc t="2" v="516"/>
    </bk>
    <bk>
      <rc t="2" v="517"/>
    </bk>
    <bk>
      <rc t="2" v="518"/>
    </bk>
    <bk>
      <rc t="2" v="519"/>
    </bk>
    <bk>
      <rc t="2" v="520"/>
    </bk>
    <bk>
      <rc t="2" v="521"/>
    </bk>
    <bk>
      <rc t="2" v="522"/>
    </bk>
    <bk>
      <rc t="2" v="523"/>
    </bk>
    <bk>
      <rc t="2" v="524"/>
    </bk>
    <bk>
      <rc t="2" v="525"/>
    </bk>
    <bk>
      <rc t="2" v="526"/>
    </bk>
    <bk>
      <rc t="2" v="527"/>
    </bk>
    <bk>
      <rc t="2" v="528"/>
    </bk>
    <bk>
      <rc t="2" v="529"/>
    </bk>
    <bk>
      <rc t="2" v="530"/>
    </bk>
    <bk>
      <rc t="2" v="531"/>
    </bk>
    <bk>
      <rc t="2" v="532"/>
    </bk>
    <bk>
      <rc t="2" v="533"/>
    </bk>
    <bk>
      <rc t="2" v="534"/>
    </bk>
    <bk>
      <rc t="2" v="535"/>
    </bk>
    <bk>
      <rc t="2" v="536"/>
    </bk>
    <bk>
      <rc t="2" v="537"/>
    </bk>
    <bk>
      <rc t="2" v="538"/>
    </bk>
    <bk>
      <rc t="2" v="539"/>
    </bk>
    <bk>
      <rc t="2" v="540"/>
    </bk>
    <bk>
      <rc t="2" v="541"/>
    </bk>
    <bk>
      <rc t="2" v="542"/>
    </bk>
    <bk>
      <rc t="2" v="543"/>
    </bk>
    <bk>
      <rc t="2" v="544"/>
    </bk>
    <bk>
      <rc t="2" v="545"/>
    </bk>
    <bk>
      <rc t="2" v="546"/>
    </bk>
    <bk>
      <rc t="2" v="547"/>
    </bk>
    <bk>
      <rc t="2" v="548"/>
    </bk>
    <bk>
      <rc t="2" v="549"/>
    </bk>
    <bk>
      <rc t="2" v="550"/>
    </bk>
    <bk>
      <rc t="2" v="551"/>
    </bk>
    <bk>
      <rc t="2" v="552"/>
    </bk>
    <bk>
      <rc t="2" v="553"/>
    </bk>
    <bk>
      <rc t="2" v="554"/>
    </bk>
    <bk>
      <rc t="2" v="555"/>
    </bk>
    <bk>
      <rc t="2" v="556"/>
    </bk>
    <bk>
      <rc t="2" v="557"/>
    </bk>
    <bk>
      <rc t="2" v="558"/>
    </bk>
    <bk>
      <rc t="2" v="559"/>
    </bk>
    <bk>
      <rc t="2" v="560"/>
    </bk>
    <bk>
      <rc t="2" v="561"/>
    </bk>
    <bk>
      <rc t="2" v="562"/>
    </bk>
    <bk>
      <rc t="2" v="563"/>
    </bk>
    <bk>
      <rc t="2" v="564"/>
    </bk>
    <bk>
      <rc t="2" v="565"/>
    </bk>
    <bk>
      <rc t="2" v="566"/>
    </bk>
    <bk>
      <rc t="2" v="567"/>
    </bk>
    <bk>
      <rc t="2" v="568"/>
    </bk>
    <bk>
      <rc t="2" v="569"/>
    </bk>
    <bk>
      <rc t="2" v="570"/>
    </bk>
    <bk>
      <rc t="2" v="571"/>
    </bk>
    <bk>
      <rc t="2" v="572"/>
    </bk>
    <bk>
      <rc t="2" v="573"/>
    </bk>
    <bk>
      <rc t="2" v="574"/>
    </bk>
    <bk>
      <rc t="2" v="575"/>
    </bk>
    <bk>
      <rc t="2" v="576"/>
    </bk>
    <bk>
      <rc t="2" v="577"/>
    </bk>
    <bk>
      <rc t="2" v="578"/>
    </bk>
    <bk>
      <rc t="2" v="579"/>
    </bk>
    <bk>
      <rc t="2" v="580"/>
    </bk>
    <bk>
      <rc t="2" v="581"/>
    </bk>
    <bk>
      <rc t="2" v="582"/>
    </bk>
    <bk>
      <rc t="2" v="583"/>
    </bk>
    <bk>
      <rc t="2" v="584"/>
    </bk>
    <bk>
      <rc t="2" v="585"/>
    </bk>
    <bk>
      <rc t="2" v="586"/>
    </bk>
    <bk>
      <rc t="2" v="587"/>
    </bk>
    <bk>
      <rc t="2" v="588"/>
    </bk>
    <bk>
      <rc t="2" v="589"/>
    </bk>
    <bk>
      <rc t="2" v="590"/>
    </bk>
    <bk>
      <rc t="2" v="591"/>
    </bk>
    <bk>
      <rc t="2" v="592"/>
    </bk>
    <bk>
      <rc t="2" v="593"/>
    </bk>
    <bk>
      <rc t="2" v="594"/>
    </bk>
    <bk>
      <rc t="2" v="595"/>
    </bk>
    <bk>
      <rc t="2" v="596"/>
    </bk>
    <bk>
      <rc t="2" v="597"/>
    </bk>
    <bk>
      <rc t="2" v="598"/>
    </bk>
    <bk>
      <rc t="2" v="599"/>
    </bk>
    <bk>
      <rc t="2" v="600"/>
    </bk>
    <bk>
      <rc t="2" v="601"/>
    </bk>
    <bk>
      <rc t="2" v="602"/>
    </bk>
    <bk>
      <rc t="2" v="603"/>
    </bk>
    <bk>
      <rc t="2" v="604"/>
    </bk>
    <bk>
      <rc t="2" v="605"/>
    </bk>
    <bk>
      <rc t="2" v="606"/>
    </bk>
    <bk>
      <rc t="2" v="607"/>
    </bk>
    <bk>
      <rc t="2" v="608"/>
    </bk>
    <bk>
      <rc t="2" v="609"/>
    </bk>
    <bk>
      <rc t="2" v="610"/>
    </bk>
    <bk>
      <rc t="2" v="611"/>
    </bk>
    <bk>
      <rc t="2" v="612"/>
    </bk>
    <bk>
      <rc t="2" v="613"/>
    </bk>
    <bk>
      <rc t="2" v="614"/>
    </bk>
    <bk>
      <rc t="2" v="615"/>
    </bk>
    <bk>
      <rc t="2" v="616"/>
    </bk>
    <bk>
      <rc t="2" v="617"/>
    </bk>
    <bk>
      <rc t="2" v="618"/>
    </bk>
    <bk>
      <rc t="2" v="619"/>
    </bk>
    <bk>
      <rc t="2" v="620"/>
    </bk>
    <bk>
      <rc t="2" v="621"/>
    </bk>
    <bk>
      <rc t="2" v="622"/>
    </bk>
    <bk>
      <rc t="2" v="623"/>
    </bk>
    <bk>
      <rc t="2" v="624"/>
    </bk>
    <bk>
      <rc t="2" v="625"/>
    </bk>
    <bk>
      <rc t="2" v="626"/>
    </bk>
    <bk>
      <rc t="2" v="627"/>
    </bk>
    <bk>
      <rc t="2" v="628"/>
    </bk>
    <bk>
      <rc t="2" v="629"/>
    </bk>
    <bk>
      <rc t="2" v="630"/>
    </bk>
    <bk>
      <rc t="2" v="631"/>
    </bk>
    <bk>
      <rc t="2" v="632"/>
    </bk>
    <bk>
      <rc t="2" v="633"/>
    </bk>
    <bk>
      <rc t="2" v="634"/>
    </bk>
    <bk>
      <rc t="2" v="635"/>
    </bk>
    <bk>
      <rc t="2" v="636"/>
    </bk>
    <bk>
      <rc t="2" v="637"/>
    </bk>
    <bk>
      <rc t="2" v="638"/>
    </bk>
    <bk>
      <rc t="2" v="639"/>
    </bk>
    <bk>
      <rc t="2" v="640"/>
    </bk>
    <bk>
      <rc t="2" v="641"/>
    </bk>
    <bk>
      <rc t="2" v="642"/>
    </bk>
    <bk>
      <rc t="2" v="643"/>
    </bk>
    <bk>
      <rc t="2" v="644"/>
    </bk>
    <bk>
      <rc t="2" v="645"/>
    </bk>
    <bk>
      <rc t="2" v="646"/>
    </bk>
    <bk>
      <rc t="2" v="647"/>
    </bk>
    <bk>
      <rc t="2" v="648"/>
    </bk>
    <bk>
      <rc t="2" v="649"/>
    </bk>
    <bk>
      <rc t="2" v="650"/>
    </bk>
    <bk>
      <rc t="2" v="651"/>
    </bk>
    <bk>
      <rc t="2" v="652"/>
    </bk>
    <bk>
      <rc t="2" v="653"/>
    </bk>
    <bk>
      <rc t="2" v="654"/>
    </bk>
    <bk>
      <rc t="2" v="655"/>
    </bk>
    <bk>
      <rc t="2" v="656"/>
    </bk>
    <bk>
      <rc t="2" v="657"/>
    </bk>
    <bk>
      <rc t="2" v="658"/>
    </bk>
    <bk>
      <rc t="2" v="659"/>
    </bk>
    <bk>
      <rc t="2" v="660"/>
    </bk>
    <bk>
      <rc t="2" v="661"/>
    </bk>
    <bk>
      <rc t="2" v="662"/>
    </bk>
    <bk>
      <rc t="2" v="663"/>
    </bk>
    <bk>
      <rc t="2" v="664"/>
    </bk>
    <bk>
      <rc t="2" v="665"/>
    </bk>
    <bk>
      <rc t="2" v="666"/>
    </bk>
    <bk>
      <rc t="2" v="667"/>
    </bk>
    <bk>
      <rc t="2" v="668"/>
    </bk>
    <bk>
      <rc t="2" v="669"/>
    </bk>
    <bk>
      <rc t="2" v="670"/>
    </bk>
    <bk>
      <rc t="2" v="671"/>
    </bk>
    <bk>
      <rc t="2" v="672"/>
    </bk>
    <bk>
      <rc t="2" v="673"/>
    </bk>
    <bk>
      <rc t="2" v="674"/>
    </bk>
    <bk>
      <rc t="2" v="675"/>
    </bk>
    <bk>
      <rc t="2" v="676"/>
    </bk>
    <bk>
      <rc t="2" v="677"/>
    </bk>
    <bk>
      <rc t="2" v="678"/>
    </bk>
    <bk>
      <rc t="2" v="679"/>
    </bk>
    <bk>
      <rc t="2" v="680"/>
    </bk>
    <bk>
      <rc t="2" v="681"/>
    </bk>
    <bk>
      <rc t="2" v="682"/>
    </bk>
    <bk>
      <rc t="2" v="683"/>
    </bk>
    <bk>
      <rc t="2" v="684"/>
    </bk>
    <bk>
      <rc t="2" v="685"/>
    </bk>
    <bk>
      <rc t="2" v="686"/>
    </bk>
    <bk>
      <rc t="2" v="687"/>
    </bk>
    <bk>
      <rc t="2" v="688"/>
    </bk>
    <bk>
      <rc t="2" v="689"/>
    </bk>
    <bk>
      <rc t="2" v="690"/>
    </bk>
    <bk>
      <rc t="2" v="691"/>
    </bk>
    <bk>
      <rc t="2" v="692"/>
    </bk>
    <bk>
      <rc t="2" v="693"/>
    </bk>
    <bk>
      <rc t="2" v="694"/>
    </bk>
    <bk>
      <rc t="2" v="695"/>
    </bk>
    <bk>
      <rc t="2" v="696"/>
    </bk>
    <bk>
      <rc t="2" v="697"/>
    </bk>
    <bk>
      <rc t="2" v="698"/>
    </bk>
    <bk>
      <rc t="2" v="699"/>
    </bk>
    <bk>
      <rc t="2" v="700"/>
    </bk>
    <bk>
      <rc t="2" v="701"/>
    </bk>
    <bk>
      <rc t="2" v="702"/>
    </bk>
    <bk>
      <rc t="2" v="703"/>
    </bk>
    <bk>
      <rc t="2" v="704"/>
    </bk>
    <bk>
      <rc t="2" v="705"/>
    </bk>
    <bk>
      <rc t="2" v="706"/>
    </bk>
    <bk>
      <rc t="2" v="707"/>
    </bk>
    <bk>
      <rc t="2" v="708"/>
    </bk>
    <bk>
      <rc t="2" v="709"/>
    </bk>
    <bk>
      <rc t="2" v="710"/>
    </bk>
    <bk>
      <rc t="2" v="711"/>
    </bk>
    <bk>
      <rc t="2" v="712"/>
    </bk>
    <bk>
      <rc t="2" v="713"/>
    </bk>
    <bk>
      <rc t="2" v="714"/>
    </bk>
    <bk>
      <rc t="2" v="715"/>
    </bk>
    <bk>
      <rc t="2" v="716"/>
    </bk>
    <bk>
      <rc t="2" v="717"/>
    </bk>
    <bk>
      <rc t="2" v="718"/>
    </bk>
    <bk>
      <rc t="2" v="719"/>
    </bk>
    <bk>
      <rc t="2" v="720"/>
    </bk>
    <bk>
      <rc t="2" v="721"/>
    </bk>
    <bk>
      <rc t="2" v="722"/>
    </bk>
    <bk>
      <rc t="2" v="723"/>
    </bk>
    <bk>
      <rc t="2" v="724"/>
    </bk>
    <bk>
      <rc t="2" v="725"/>
    </bk>
    <bk>
      <rc t="2" v="726"/>
    </bk>
    <bk>
      <rc t="2" v="727"/>
    </bk>
    <bk>
      <rc t="2" v="728"/>
    </bk>
    <bk>
      <rc t="2" v="729"/>
    </bk>
    <bk>
      <rc t="2" v="730"/>
    </bk>
    <bk>
      <rc t="2" v="731"/>
    </bk>
    <bk>
      <rc t="2" v="732"/>
    </bk>
    <bk>
      <rc t="2" v="733"/>
    </bk>
    <bk>
      <rc t="2" v="734"/>
    </bk>
    <bk>
      <rc t="2" v="735"/>
    </bk>
    <bk>
      <rc t="2" v="736"/>
    </bk>
    <bk>
      <rc t="2" v="737"/>
    </bk>
    <bk>
      <rc t="2" v="738"/>
    </bk>
    <bk>
      <rc t="2" v="739"/>
    </bk>
    <bk>
      <rc t="2" v="740"/>
    </bk>
    <bk>
      <rc t="2" v="741"/>
    </bk>
    <bk>
      <rc t="2" v="742"/>
    </bk>
    <bk>
      <rc t="2" v="743"/>
    </bk>
    <bk>
      <rc t="2" v="744"/>
    </bk>
    <bk>
      <rc t="2" v="745"/>
    </bk>
    <bk>
      <rc t="2" v="746"/>
    </bk>
    <bk>
      <rc t="2" v="747"/>
    </bk>
    <bk>
      <rc t="2" v="748"/>
    </bk>
    <bk>
      <rc t="2" v="749"/>
    </bk>
    <bk>
      <rc t="2" v="750"/>
    </bk>
    <bk>
      <rc t="2" v="751"/>
    </bk>
    <bk>
      <rc t="2" v="752"/>
    </bk>
    <bk>
      <rc t="2" v="753"/>
    </bk>
    <bk>
      <rc t="2" v="754"/>
    </bk>
    <bk>
      <rc t="2" v="755"/>
    </bk>
    <bk>
      <rc t="2" v="756"/>
    </bk>
    <bk>
      <rc t="2" v="757"/>
    </bk>
    <bk>
      <rc t="2" v="758"/>
    </bk>
    <bk>
      <rc t="2" v="759"/>
    </bk>
    <bk>
      <rc t="2" v="760"/>
    </bk>
    <bk>
      <rc t="2" v="761"/>
    </bk>
    <bk>
      <rc t="2" v="762"/>
    </bk>
    <bk>
      <rc t="2" v="763"/>
    </bk>
    <bk>
      <rc t="2" v="764"/>
    </bk>
    <bk>
      <rc t="2" v="765"/>
    </bk>
    <bk>
      <rc t="2" v="766"/>
    </bk>
    <bk>
      <rc t="2" v="767"/>
    </bk>
    <bk>
      <rc t="2" v="768"/>
    </bk>
    <bk>
      <rc t="2" v="769"/>
    </bk>
    <bk>
      <rc t="2" v="770"/>
    </bk>
    <bk>
      <rc t="2" v="771"/>
    </bk>
    <bk>
      <rc t="2" v="772"/>
    </bk>
    <bk>
      <rc t="2" v="773"/>
    </bk>
    <bk>
      <rc t="2" v="774"/>
    </bk>
    <bk>
      <rc t="2" v="775"/>
    </bk>
    <bk>
      <rc t="2" v="776"/>
    </bk>
    <bk>
      <rc t="2" v="777"/>
    </bk>
    <bk>
      <rc t="2" v="778"/>
    </bk>
    <bk>
      <rc t="2" v="779"/>
    </bk>
    <bk>
      <rc t="2" v="780"/>
    </bk>
    <bk>
      <rc t="2" v="781"/>
    </bk>
    <bk>
      <rc t="2" v="782"/>
    </bk>
    <bk>
      <rc t="2" v="783"/>
    </bk>
    <bk>
      <rc t="2" v="784"/>
    </bk>
    <bk>
      <rc t="2" v="785"/>
    </bk>
    <bk>
      <rc t="2" v="786"/>
    </bk>
    <bk>
      <rc t="2" v="787"/>
    </bk>
    <bk>
      <rc t="2" v="788"/>
    </bk>
    <bk>
      <rc t="2" v="789"/>
    </bk>
    <bk>
      <rc t="2" v="790"/>
    </bk>
    <bk>
      <rc t="2" v="791"/>
    </bk>
    <bk>
      <rc t="2" v="792"/>
    </bk>
    <bk>
      <rc t="2" v="793"/>
    </bk>
    <bk>
      <rc t="2" v="794"/>
    </bk>
    <bk>
      <rc t="2" v="795"/>
    </bk>
    <bk>
      <rc t="2" v="796"/>
    </bk>
    <bk>
      <rc t="2" v="797"/>
    </bk>
    <bk>
      <rc t="2" v="798"/>
    </bk>
    <bk>
      <rc t="2" v="799"/>
    </bk>
    <bk>
      <rc t="2" v="800"/>
    </bk>
    <bk>
      <rc t="2" v="801"/>
    </bk>
    <bk>
      <rc t="2" v="802"/>
    </bk>
    <bk>
      <rc t="2" v="803"/>
    </bk>
    <bk>
      <rc t="2" v="804"/>
    </bk>
    <bk>
      <rc t="2" v="805"/>
    </bk>
    <bk>
      <rc t="2" v="806"/>
    </bk>
    <bk>
      <rc t="2" v="807"/>
    </bk>
    <bk>
      <rc t="2" v="808"/>
    </bk>
    <bk>
      <rc t="2" v="809"/>
    </bk>
    <bk>
      <rc t="2" v="810"/>
    </bk>
    <bk>
      <rc t="2" v="811"/>
    </bk>
    <bk>
      <rc t="2" v="812"/>
    </bk>
    <bk>
      <rc t="2" v="813"/>
    </bk>
    <bk>
      <rc t="2" v="814"/>
    </bk>
    <bk>
      <rc t="2" v="815"/>
    </bk>
    <bk>
      <rc t="2" v="816"/>
    </bk>
    <bk>
      <rc t="2" v="817"/>
    </bk>
    <bk>
      <rc t="2" v="818"/>
    </bk>
    <bk>
      <rc t="2" v="819"/>
    </bk>
    <bk>
      <rc t="2" v="820"/>
    </bk>
    <bk>
      <rc t="2" v="821"/>
    </bk>
    <bk>
      <rc t="2" v="822"/>
    </bk>
    <bk>
      <rc t="2" v="823"/>
    </bk>
    <bk>
      <rc t="2" v="824"/>
    </bk>
    <bk>
      <rc t="2" v="825"/>
    </bk>
    <bk>
      <rc t="2" v="826"/>
    </bk>
    <bk>
      <rc t="2" v="827"/>
    </bk>
    <bk>
      <rc t="2" v="828"/>
    </bk>
    <bk>
      <rc t="2" v="829"/>
    </bk>
    <bk>
      <rc t="2" v="830"/>
    </bk>
    <bk>
      <rc t="2" v="831"/>
    </bk>
    <bk>
      <rc t="2" v="832"/>
    </bk>
    <bk>
      <rc t="2" v="833"/>
    </bk>
    <bk>
      <rc t="2" v="834"/>
    </bk>
    <bk>
      <rc t="2" v="835"/>
    </bk>
    <bk>
      <rc t="2" v="836"/>
    </bk>
    <bk>
      <rc t="2" v="837"/>
    </bk>
    <bk>
      <rc t="2" v="838"/>
    </bk>
    <bk>
      <rc t="2" v="839"/>
    </bk>
    <bk>
      <rc t="2" v="840"/>
    </bk>
    <bk>
      <rc t="2" v="841"/>
    </bk>
    <bk>
      <rc t="2" v="842"/>
    </bk>
    <bk>
      <rc t="2" v="843"/>
    </bk>
    <bk>
      <rc t="2" v="844"/>
    </bk>
    <bk>
      <rc t="2" v="845"/>
    </bk>
    <bk>
      <rc t="2" v="846"/>
    </bk>
    <bk>
      <rc t="2" v="847"/>
    </bk>
    <bk>
      <rc t="2" v="848"/>
    </bk>
    <bk>
      <rc t="2" v="849"/>
    </bk>
    <bk>
      <rc t="2" v="850"/>
    </bk>
    <bk>
      <rc t="2" v="851"/>
    </bk>
    <bk>
      <rc t="2" v="852"/>
    </bk>
    <bk>
      <rc t="2" v="853"/>
    </bk>
    <bk>
      <rc t="2" v="854"/>
    </bk>
    <bk>
      <rc t="2" v="855"/>
    </bk>
    <bk>
      <rc t="2" v="856"/>
    </bk>
    <bk>
      <rc t="2" v="857"/>
    </bk>
    <bk>
      <rc t="2" v="858"/>
    </bk>
    <bk>
      <rc t="2" v="859"/>
    </bk>
    <bk>
      <rc t="2" v="860"/>
    </bk>
    <bk>
      <rc t="2" v="861"/>
    </bk>
    <bk>
      <rc t="2" v="862"/>
    </bk>
    <bk>
      <rc t="2" v="863"/>
    </bk>
    <bk>
      <rc t="2" v="864"/>
    </bk>
    <bk>
      <rc t="2" v="865"/>
    </bk>
    <bk>
      <rc t="2" v="866"/>
    </bk>
    <bk>
      <rc t="2" v="867"/>
    </bk>
    <bk>
      <rc t="2" v="868"/>
    </bk>
    <bk>
      <rc t="2" v="869"/>
    </bk>
    <bk>
      <rc t="2" v="870"/>
    </bk>
    <bk>
      <rc t="2" v="871"/>
    </bk>
    <bk>
      <rc t="2" v="872"/>
    </bk>
    <bk>
      <rc t="2" v="873"/>
    </bk>
    <bk>
      <rc t="2" v="874"/>
    </bk>
    <bk>
      <rc t="2" v="875"/>
    </bk>
    <bk>
      <rc t="2" v="876"/>
    </bk>
    <bk>
      <rc t="2" v="877"/>
    </bk>
    <bk>
      <rc t="2" v="878"/>
    </bk>
    <bk>
      <rc t="2" v="879"/>
    </bk>
    <bk>
      <rc t="2" v="880"/>
    </bk>
    <bk>
      <rc t="2" v="881"/>
    </bk>
    <bk>
      <rc t="2" v="882"/>
    </bk>
    <bk>
      <rc t="2" v="883"/>
    </bk>
    <bk>
      <rc t="2" v="884"/>
    </bk>
    <bk>
      <rc t="2" v="885"/>
    </bk>
    <bk>
      <rc t="2" v="886"/>
    </bk>
    <bk>
      <rc t="2" v="887"/>
    </bk>
    <bk>
      <rc t="2" v="888"/>
    </bk>
    <bk>
      <rc t="2" v="889"/>
    </bk>
    <bk>
      <rc t="2" v="890"/>
    </bk>
    <bk>
      <rc t="2" v="891"/>
    </bk>
    <bk>
      <rc t="2" v="892"/>
    </bk>
    <bk>
      <rc t="2" v="893"/>
    </bk>
    <bk>
      <rc t="2" v="894"/>
    </bk>
    <bk>
      <rc t="2" v="895"/>
    </bk>
    <bk>
      <rc t="2" v="896"/>
    </bk>
    <bk>
      <rc t="2" v="897"/>
    </bk>
    <bk>
      <rc t="2" v="898"/>
    </bk>
    <bk>
      <rc t="2" v="899"/>
    </bk>
    <bk>
      <rc t="2" v="900"/>
    </bk>
    <bk>
      <rc t="2" v="901"/>
    </bk>
    <bk>
      <rc t="2" v="902"/>
    </bk>
    <bk>
      <rc t="2" v="903"/>
    </bk>
    <bk>
      <rc t="2" v="904"/>
    </bk>
    <bk>
      <rc t="2" v="905"/>
    </bk>
    <bk>
      <rc t="2" v="906"/>
    </bk>
    <bk>
      <rc t="2" v="907"/>
    </bk>
    <bk>
      <rc t="2" v="908"/>
    </bk>
    <bk>
      <rc t="2" v="909"/>
    </bk>
    <bk>
      <rc t="2" v="910"/>
    </bk>
    <bk>
      <rc t="2" v="911"/>
    </bk>
    <bk>
      <rc t="2" v="912"/>
    </bk>
    <bk>
      <rc t="2" v="913"/>
    </bk>
    <bk>
      <rc t="2" v="914"/>
    </bk>
    <bk>
      <rc t="2" v="915"/>
    </bk>
    <bk>
      <rc t="2" v="916"/>
    </bk>
    <bk>
      <rc t="2" v="917"/>
    </bk>
    <bk>
      <rc t="2" v="918"/>
    </bk>
    <bk>
      <rc t="2" v="919"/>
    </bk>
    <bk>
      <rc t="2" v="920"/>
    </bk>
    <bk>
      <rc t="2" v="921"/>
    </bk>
    <bk>
      <rc t="2" v="922"/>
    </bk>
    <bk>
      <rc t="2" v="923"/>
    </bk>
    <bk>
      <rc t="2" v="924"/>
    </bk>
    <bk>
      <rc t="2" v="925"/>
    </bk>
    <bk>
      <rc t="2" v="926"/>
    </bk>
    <bk>
      <rc t="2" v="927"/>
    </bk>
    <bk>
      <rc t="2" v="928"/>
    </bk>
    <bk>
      <rc t="2" v="929"/>
    </bk>
    <bk>
      <rc t="2" v="930"/>
    </bk>
    <bk>
      <rc t="2" v="931"/>
    </bk>
    <bk>
      <rc t="2" v="932"/>
    </bk>
    <bk>
      <rc t="2" v="933"/>
    </bk>
    <bk>
      <rc t="2" v="934"/>
    </bk>
    <bk>
      <rc t="2" v="935"/>
    </bk>
    <bk>
      <rc t="2" v="936"/>
    </bk>
    <bk>
      <rc t="2" v="937"/>
    </bk>
    <bk>
      <rc t="2" v="938"/>
    </bk>
    <bk>
      <rc t="2" v="939"/>
    </bk>
    <bk>
      <rc t="2" v="940"/>
    </bk>
    <bk>
      <rc t="2" v="941"/>
    </bk>
    <bk>
      <rc t="2" v="942"/>
    </bk>
    <bk>
      <rc t="2" v="943"/>
    </bk>
    <bk>
      <rc t="2" v="944"/>
    </bk>
    <bk>
      <rc t="2" v="945"/>
    </bk>
    <bk>
      <rc t="2" v="946"/>
    </bk>
    <bk>
      <rc t="2" v="947"/>
    </bk>
    <bk>
      <rc t="2" v="948"/>
    </bk>
    <bk>
      <rc t="2" v="949"/>
    </bk>
    <bk>
      <rc t="2" v="950"/>
    </bk>
    <bk>
      <rc t="2" v="951"/>
    </bk>
    <bk>
      <rc t="2" v="952"/>
    </bk>
    <bk>
      <rc t="2" v="953"/>
    </bk>
    <bk>
      <rc t="2" v="954"/>
    </bk>
    <bk>
      <rc t="2" v="955"/>
    </bk>
    <bk>
      <rc t="2" v="956"/>
    </bk>
    <bk>
      <rc t="2" v="957"/>
    </bk>
    <bk>
      <rc t="2" v="958"/>
    </bk>
    <bk>
      <rc t="2" v="959"/>
    </bk>
    <bk>
      <rc t="2" v="960"/>
    </bk>
    <bk>
      <rc t="2" v="961"/>
    </bk>
    <bk>
      <rc t="2" v="962"/>
    </bk>
    <bk>
      <rc t="2" v="963"/>
    </bk>
    <bk>
      <rc t="2" v="964"/>
    </bk>
    <bk>
      <rc t="2" v="965"/>
    </bk>
    <bk>
      <rc t="2" v="966"/>
    </bk>
    <bk>
      <rc t="2" v="967"/>
    </bk>
    <bk>
      <rc t="2" v="968"/>
    </bk>
    <bk>
      <rc t="2" v="969"/>
    </bk>
    <bk>
      <rc t="2" v="970"/>
    </bk>
    <bk>
      <rc t="2" v="971"/>
    </bk>
    <bk>
      <rc t="2" v="972"/>
    </bk>
    <bk>
      <rc t="2" v="973"/>
    </bk>
    <bk>
      <rc t="2" v="974"/>
    </bk>
    <bk>
      <rc t="2" v="975"/>
    </bk>
    <bk>
      <rc t="2" v="976"/>
    </bk>
    <bk>
      <rc t="2" v="977"/>
    </bk>
    <bk>
      <rc t="2" v="978"/>
    </bk>
    <bk>
      <rc t="2" v="979"/>
    </bk>
    <bk>
      <rc t="2" v="980"/>
    </bk>
    <bk>
      <rc t="2" v="981"/>
    </bk>
    <bk>
      <rc t="2" v="982"/>
    </bk>
    <bk>
      <rc t="2" v="983"/>
    </bk>
    <bk>
      <rc t="2" v="984"/>
    </bk>
    <bk>
      <rc t="2" v="985"/>
    </bk>
    <bk>
      <rc t="2" v="986"/>
    </bk>
    <bk>
      <rc t="2" v="987"/>
    </bk>
    <bk>
      <rc t="2" v="988"/>
    </bk>
    <bk>
      <rc t="2" v="989"/>
    </bk>
    <bk>
      <rc t="2" v="990"/>
    </bk>
    <bk>
      <rc t="2" v="991"/>
    </bk>
    <bk>
      <rc t="2" v="992"/>
    </bk>
    <bk>
      <rc t="2" v="993"/>
    </bk>
    <bk>
      <rc t="2" v="994"/>
    </bk>
    <bk>
      <rc t="2" v="995"/>
    </bk>
    <bk>
      <rc t="2" v="996"/>
    </bk>
    <bk>
      <rc t="2" v="997"/>
    </bk>
    <bk>
      <rc t="2" v="998"/>
    </bk>
    <bk>
      <rc t="2" v="999"/>
    </bk>
    <bk>
      <rc t="2" v="1000"/>
    </bk>
    <bk>
      <rc t="2" v="1001"/>
    </bk>
    <bk>
      <rc t="2" v="1002"/>
    </bk>
    <bk>
      <rc t="2" v="1003"/>
    </bk>
    <bk>
      <rc t="2" v="1004"/>
    </bk>
    <bk>
      <rc t="2" v="1005"/>
    </bk>
    <bk>
      <rc t="2" v="1006"/>
    </bk>
    <bk>
      <rc t="2" v="1007"/>
    </bk>
    <bk>
      <rc t="2" v="1008"/>
    </bk>
    <bk>
      <rc t="2" v="1009"/>
    </bk>
    <bk>
      <rc t="2" v="1010"/>
    </bk>
    <bk>
      <rc t="2" v="1011"/>
    </bk>
    <bk>
      <rc t="2" v="1012"/>
    </bk>
    <bk>
      <rc t="2" v="1013"/>
    </bk>
    <bk>
      <rc t="2" v="1014"/>
    </bk>
    <bk>
      <rc t="2" v="1015"/>
    </bk>
    <bk>
      <rc t="2" v="1016"/>
    </bk>
    <bk>
      <rc t="2" v="1017"/>
    </bk>
    <bk>
      <rc t="2" v="1018"/>
    </bk>
    <bk>
      <rc t="2" v="1019"/>
    </bk>
    <bk>
      <rc t="2" v="1020"/>
    </bk>
    <bk>
      <rc t="2" v="1021"/>
    </bk>
    <bk>
      <rc t="2" v="1022"/>
    </bk>
    <bk>
      <rc t="2" v="1023"/>
    </bk>
    <bk>
      <rc t="2" v="1024"/>
    </bk>
    <bk>
      <rc t="2" v="1025"/>
    </bk>
    <bk>
      <rc t="2" v="1026"/>
    </bk>
    <bk>
      <rc t="2" v="1027"/>
    </bk>
    <bk>
      <rc t="2" v="1028"/>
    </bk>
    <bk>
      <rc t="2" v="1029"/>
    </bk>
    <bk>
      <rc t="2" v="1030"/>
    </bk>
    <bk>
      <rc t="2" v="1031"/>
    </bk>
    <bk>
      <rc t="2" v="1032"/>
    </bk>
    <bk>
      <rc t="2" v="1033"/>
    </bk>
    <bk>
      <rc t="2" v="1034"/>
    </bk>
    <bk>
      <rc t="2" v="1035"/>
    </bk>
    <bk>
      <rc t="2" v="1036"/>
    </bk>
    <bk>
      <rc t="2" v="1037"/>
    </bk>
    <bk>
      <rc t="2" v="1038"/>
    </bk>
    <bk>
      <rc t="2" v="1039"/>
    </bk>
    <bk>
      <rc t="2" v="1040"/>
    </bk>
    <bk>
      <rc t="2" v="1041"/>
    </bk>
    <bk>
      <rc t="2" v="1042"/>
    </bk>
    <bk>
      <rc t="2" v="1043"/>
    </bk>
    <bk>
      <rc t="2" v="1044"/>
    </bk>
    <bk>
      <rc t="2" v="1045"/>
    </bk>
    <bk>
      <rc t="2" v="1046"/>
    </bk>
    <bk>
      <rc t="2" v="1047"/>
    </bk>
    <bk>
      <rc t="2" v="1048"/>
    </bk>
    <bk>
      <rc t="2" v="1049"/>
    </bk>
    <bk>
      <rc t="2" v="1050"/>
    </bk>
    <bk>
      <rc t="2" v="1051"/>
    </bk>
    <bk>
      <rc t="2" v="1052"/>
    </bk>
    <bk>
      <rc t="2" v="1053"/>
    </bk>
    <bk>
      <rc t="2" v="1054"/>
    </bk>
    <bk>
      <rc t="2" v="1055"/>
    </bk>
    <bk>
      <rc t="2" v="1056"/>
    </bk>
    <bk>
      <rc t="2" v="1057"/>
    </bk>
    <bk>
      <rc t="2" v="1058"/>
    </bk>
    <bk>
      <rc t="2" v="1059"/>
    </bk>
    <bk>
      <rc t="2" v="1060"/>
    </bk>
    <bk>
      <rc t="2" v="1061"/>
    </bk>
    <bk>
      <rc t="2" v="1062"/>
    </bk>
    <bk>
      <rc t="2" v="1063"/>
    </bk>
    <bk>
      <rc t="2" v="1064"/>
    </bk>
    <bk>
      <rc t="2" v="1065"/>
    </bk>
    <bk>
      <rc t="2" v="1066"/>
    </bk>
    <bk>
      <rc t="2" v="1067"/>
    </bk>
    <bk>
      <rc t="2" v="1068"/>
    </bk>
    <bk>
      <rc t="2" v="1069"/>
    </bk>
    <bk>
      <rc t="2" v="1070"/>
    </bk>
    <bk>
      <rc t="2" v="1071"/>
    </bk>
    <bk>
      <rc t="2" v="1072"/>
    </bk>
    <bk>
      <rc t="2" v="1073"/>
    </bk>
    <bk>
      <rc t="2" v="1074"/>
    </bk>
    <bk>
      <rc t="2" v="1075"/>
    </bk>
    <bk>
      <rc t="2" v="1076"/>
    </bk>
    <bk>
      <rc t="2" v="1077"/>
    </bk>
    <bk>
      <rc t="2" v="1078"/>
    </bk>
    <bk>
      <rc t="2" v="1079"/>
    </bk>
    <bk>
      <rc t="2" v="1080"/>
    </bk>
    <bk>
      <rc t="2" v="1081"/>
    </bk>
    <bk>
      <rc t="2" v="1082"/>
    </bk>
    <bk>
      <rc t="2" v="1083"/>
    </bk>
    <bk>
      <rc t="2" v="1084"/>
    </bk>
    <bk>
      <rc t="2" v="1085"/>
    </bk>
    <bk>
      <rc t="2" v="1086"/>
    </bk>
    <bk>
      <rc t="2" v="1087"/>
    </bk>
    <bk>
      <rc t="2" v="1088"/>
    </bk>
    <bk>
      <rc t="2" v="1089"/>
    </bk>
    <bk>
      <rc t="2" v="1090"/>
    </bk>
    <bk>
      <rc t="2" v="1091"/>
    </bk>
    <bk>
      <rc t="2" v="1092"/>
    </bk>
    <bk>
      <rc t="2" v="1093"/>
    </bk>
    <bk>
      <rc t="2" v="1094"/>
    </bk>
    <bk>
      <rc t="2" v="1095"/>
    </bk>
    <bk>
      <rc t="2" v="1096"/>
    </bk>
    <bk>
      <rc t="2" v="1097"/>
    </bk>
    <bk>
      <rc t="2" v="1098"/>
    </bk>
    <bk>
      <rc t="2" v="1099"/>
    </bk>
    <bk>
      <rc t="2" v="1100"/>
    </bk>
    <bk>
      <rc t="2" v="1101"/>
    </bk>
    <bk>
      <rc t="2" v="1102"/>
    </bk>
    <bk>
      <rc t="2" v="1103"/>
    </bk>
    <bk>
      <rc t="2" v="1104"/>
    </bk>
    <bk>
      <rc t="2" v="1105"/>
    </bk>
    <bk>
      <rc t="2" v="1106"/>
    </bk>
    <bk>
      <rc t="2" v="1107"/>
    </bk>
    <bk>
      <rc t="2" v="1108"/>
    </bk>
    <bk>
      <rc t="2" v="1109"/>
    </bk>
    <bk>
      <rc t="2" v="1110"/>
    </bk>
    <bk>
      <rc t="2" v="1111"/>
    </bk>
    <bk>
      <rc t="2" v="1112"/>
    </bk>
    <bk>
      <rc t="2" v="1113"/>
    </bk>
    <bk>
      <rc t="2" v="1114"/>
    </bk>
    <bk>
      <rc t="2" v="1115"/>
    </bk>
    <bk>
      <rc t="2" v="1116"/>
    </bk>
    <bk>
      <rc t="2" v="1117"/>
    </bk>
    <bk>
      <rc t="2" v="1118"/>
    </bk>
    <bk>
      <rc t="2" v="1119"/>
    </bk>
    <bk>
      <rc t="2" v="1120"/>
    </bk>
    <bk>
      <rc t="2" v="1121"/>
    </bk>
    <bk>
      <rc t="2" v="1122"/>
    </bk>
    <bk>
      <rc t="2" v="1123"/>
    </bk>
    <bk>
      <rc t="2" v="1124"/>
    </bk>
    <bk>
      <rc t="2" v="1125"/>
    </bk>
    <bk>
      <rc t="2" v="1126"/>
    </bk>
    <bk>
      <rc t="2" v="1127"/>
    </bk>
    <bk>
      <rc t="2" v="1128"/>
    </bk>
    <bk>
      <rc t="2" v="1129"/>
    </bk>
    <bk>
      <rc t="2" v="1130"/>
    </bk>
    <bk>
      <rc t="2" v="1131"/>
    </bk>
    <bk>
      <rc t="2" v="1132"/>
    </bk>
    <bk>
      <rc t="2" v="1133"/>
    </bk>
    <bk>
      <rc t="2" v="1134"/>
    </bk>
    <bk>
      <rc t="2" v="1135"/>
    </bk>
    <bk>
      <rc t="2" v="1136"/>
    </bk>
    <bk>
      <rc t="2" v="1137"/>
    </bk>
    <bk>
      <rc t="2" v="1138"/>
    </bk>
    <bk>
      <rc t="2" v="1139"/>
    </bk>
    <bk>
      <rc t="2" v="1140"/>
    </bk>
    <bk>
      <rc t="2" v="1141"/>
    </bk>
    <bk>
      <rc t="2" v="1142"/>
    </bk>
    <bk>
      <rc t="2" v="1143"/>
    </bk>
    <bk>
      <rc t="2" v="1144"/>
    </bk>
    <bk>
      <rc t="2" v="1145"/>
    </bk>
    <bk>
      <rc t="2" v="1146"/>
    </bk>
    <bk>
      <rc t="2" v="1147"/>
    </bk>
    <bk>
      <rc t="2" v="1148"/>
    </bk>
    <bk>
      <rc t="2" v="1149"/>
    </bk>
    <bk>
      <rc t="2" v="1150"/>
    </bk>
    <bk>
      <rc t="2" v="1151"/>
    </bk>
    <bk>
      <rc t="2" v="1152"/>
    </bk>
    <bk>
      <rc t="2" v="1153"/>
    </bk>
    <bk>
      <rc t="2" v="1154"/>
    </bk>
    <bk>
      <rc t="2" v="1155"/>
    </bk>
    <bk>
      <rc t="2" v="1156"/>
    </bk>
    <bk>
      <rc t="2" v="1157"/>
    </bk>
    <bk>
      <rc t="2" v="1158"/>
    </bk>
    <bk>
      <rc t="2" v="1159"/>
    </bk>
    <bk>
      <rc t="2" v="1160"/>
    </bk>
    <bk>
      <rc t="2" v="1161"/>
    </bk>
    <bk>
      <rc t="2" v="1162"/>
    </bk>
    <bk>
      <rc t="2" v="1163"/>
    </bk>
    <bk>
      <rc t="2" v="1164"/>
    </bk>
    <bk>
      <rc t="2" v="1165"/>
    </bk>
    <bk>
      <rc t="2" v="1166"/>
    </bk>
    <bk>
      <rc t="2" v="1167"/>
    </bk>
    <bk>
      <rc t="2" v="1168"/>
    </bk>
    <bk>
      <rc t="2" v="1169"/>
    </bk>
    <bk>
      <rc t="2" v="1170"/>
    </bk>
    <bk>
      <rc t="2" v="1171"/>
    </bk>
    <bk>
      <rc t="2" v="1172"/>
    </bk>
    <bk>
      <rc t="2" v="1173"/>
    </bk>
    <bk>
      <rc t="2" v="1174"/>
    </bk>
    <bk>
      <rc t="2" v="1175"/>
    </bk>
    <bk>
      <rc t="2" v="1176"/>
    </bk>
    <bk>
      <rc t="2" v="1177"/>
    </bk>
    <bk>
      <rc t="2" v="1178"/>
    </bk>
    <bk>
      <rc t="2" v="1179"/>
    </bk>
    <bk>
      <rc t="2" v="1180"/>
    </bk>
    <bk>
      <rc t="2" v="1181"/>
    </bk>
    <bk>
      <rc t="2" v="1182"/>
    </bk>
    <bk>
      <rc t="2" v="1183"/>
    </bk>
    <bk>
      <rc t="2" v="1184"/>
    </bk>
    <bk>
      <rc t="2" v="1185"/>
    </bk>
    <bk>
      <rc t="2" v="1186"/>
    </bk>
    <bk>
      <rc t="2" v="1187"/>
    </bk>
    <bk>
      <rc t="2" v="1188"/>
    </bk>
    <bk>
      <rc t="2" v="1189"/>
    </bk>
    <bk>
      <rc t="2" v="1190"/>
    </bk>
    <bk>
      <rc t="2" v="1191"/>
    </bk>
    <bk>
      <rc t="2" v="1192"/>
    </bk>
    <bk>
      <rc t="2" v="1193"/>
    </bk>
    <bk>
      <rc t="2" v="1194"/>
    </bk>
    <bk>
      <rc t="2" v="1195"/>
    </bk>
    <bk>
      <rc t="2" v="1196"/>
    </bk>
    <bk>
      <rc t="2" v="1197"/>
    </bk>
    <bk>
      <rc t="2" v="1198"/>
    </bk>
    <bk>
      <rc t="2" v="1199"/>
    </bk>
    <bk>
      <rc t="2" v="1200"/>
    </bk>
    <bk>
      <rc t="2" v="1201"/>
    </bk>
    <bk>
      <rc t="2" v="1202"/>
    </bk>
    <bk>
      <rc t="2" v="1203"/>
    </bk>
    <bk>
      <rc t="2" v="1204"/>
    </bk>
    <bk>
      <rc t="2" v="1205"/>
    </bk>
    <bk>
      <rc t="2" v="1206"/>
    </bk>
    <bk>
      <rc t="2" v="1207"/>
    </bk>
    <bk>
      <rc t="2" v="1208"/>
    </bk>
    <bk>
      <rc t="2" v="1209"/>
    </bk>
    <bk>
      <rc t="2" v="1210"/>
    </bk>
    <bk>
      <rc t="2" v="1211"/>
    </bk>
    <bk>
      <rc t="2" v="1212"/>
    </bk>
    <bk>
      <rc t="2" v="1213"/>
    </bk>
    <bk>
      <rc t="2" v="1214"/>
    </bk>
    <bk>
      <rc t="2" v="1215"/>
    </bk>
    <bk>
      <rc t="2" v="1216"/>
    </bk>
    <bk>
      <rc t="2" v="1217"/>
    </bk>
    <bk>
      <rc t="2" v="1218"/>
    </bk>
    <bk>
      <rc t="2" v="1219"/>
    </bk>
    <bk>
      <rc t="2" v="1220"/>
    </bk>
    <bk>
      <rc t="2" v="1221"/>
    </bk>
    <bk>
      <rc t="2" v="1222"/>
    </bk>
    <bk>
      <rc t="2" v="1223"/>
    </bk>
    <bk>
      <rc t="2" v="1224"/>
    </bk>
    <bk>
      <rc t="2" v="1225"/>
    </bk>
    <bk>
      <rc t="2" v="1226"/>
    </bk>
    <bk>
      <rc t="2" v="1227"/>
    </bk>
    <bk>
      <rc t="2" v="1228"/>
    </bk>
    <bk>
      <rc t="2" v="1229"/>
    </bk>
    <bk>
      <rc t="2" v="1230"/>
    </bk>
    <bk>
      <rc t="2" v="1231"/>
    </bk>
    <bk>
      <rc t="2" v="1232"/>
    </bk>
    <bk>
      <rc t="2" v="1233"/>
    </bk>
    <bk>
      <rc t="2" v="1234"/>
    </bk>
    <bk>
      <rc t="2" v="1235"/>
    </bk>
    <bk>
      <rc t="2" v="1236"/>
    </bk>
    <bk>
      <rc t="2" v="1237"/>
    </bk>
    <bk>
      <rc t="2" v="1238"/>
    </bk>
    <bk>
      <rc t="2" v="1239"/>
    </bk>
    <bk>
      <rc t="2" v="1240"/>
    </bk>
    <bk>
      <rc t="2" v="1241"/>
    </bk>
    <bk>
      <rc t="2" v="1242"/>
    </bk>
    <bk>
      <rc t="2" v="1243"/>
    </bk>
    <bk>
      <rc t="2" v="1244"/>
    </bk>
    <bk>
      <rc t="2" v="1245"/>
    </bk>
    <bk>
      <rc t="2" v="1246"/>
    </bk>
    <bk>
      <rc t="2" v="1247"/>
    </bk>
    <bk>
      <rc t="2" v="1248"/>
    </bk>
    <bk>
      <rc t="2" v="1249"/>
    </bk>
    <bk>
      <rc t="2" v="1250"/>
    </bk>
    <bk>
      <rc t="2" v="1251"/>
    </bk>
    <bk>
      <rc t="2" v="1252"/>
    </bk>
    <bk>
      <rc t="2" v="1253"/>
    </bk>
    <bk>
      <rc t="2" v="1254"/>
    </bk>
    <bk>
      <rc t="2" v="1255"/>
    </bk>
    <bk>
      <rc t="2" v="1256"/>
    </bk>
    <bk>
      <rc t="2" v="1257"/>
    </bk>
    <bk>
      <rc t="2" v="1258"/>
    </bk>
    <bk>
      <rc t="2" v="1259"/>
    </bk>
    <bk>
      <rc t="2" v="1260"/>
    </bk>
    <bk>
      <rc t="2" v="1261"/>
    </bk>
    <bk>
      <rc t="2" v="1262"/>
    </bk>
    <bk>
      <rc t="2" v="1263"/>
    </bk>
    <bk>
      <rc t="2" v="1264"/>
    </bk>
    <bk>
      <rc t="2" v="1265"/>
    </bk>
    <bk>
      <rc t="2" v="1266"/>
    </bk>
    <bk>
      <rc t="2" v="1267"/>
    </bk>
    <bk>
      <rc t="2" v="1268"/>
    </bk>
    <bk>
      <rc t="2" v="1269"/>
    </bk>
    <bk>
      <rc t="2" v="1270"/>
    </bk>
    <bk>
      <rc t="2" v="1271"/>
    </bk>
    <bk>
      <rc t="2" v="1272"/>
    </bk>
    <bk>
      <rc t="2" v="1273"/>
    </bk>
    <bk>
      <rc t="2" v="1274"/>
    </bk>
    <bk>
      <rc t="2" v="1275"/>
    </bk>
    <bk>
      <rc t="2" v="1276"/>
    </bk>
    <bk>
      <rc t="2" v="1277"/>
    </bk>
    <bk>
      <rc t="2" v="1278"/>
    </bk>
    <bk>
      <rc t="2" v="1279"/>
    </bk>
    <bk>
      <rc t="2" v="1280"/>
    </bk>
    <bk>
      <rc t="2" v="1281"/>
    </bk>
    <bk>
      <rc t="2" v="1282"/>
    </bk>
    <bk>
      <rc t="2" v="1283"/>
    </bk>
    <bk>
      <rc t="2" v="1284"/>
    </bk>
    <bk>
      <rc t="2" v="1285"/>
    </bk>
    <bk>
      <rc t="2" v="1286"/>
    </bk>
    <bk>
      <rc t="2" v="1287"/>
    </bk>
    <bk>
      <rc t="2" v="1288"/>
    </bk>
    <bk>
      <rc t="2" v="1289"/>
    </bk>
    <bk>
      <rc t="2" v="1290"/>
    </bk>
    <bk>
      <rc t="2" v="1291"/>
    </bk>
    <bk>
      <rc t="2" v="1292"/>
    </bk>
    <bk>
      <rc t="2" v="1293"/>
    </bk>
    <bk>
      <rc t="2" v="1294"/>
    </bk>
    <bk>
      <rc t="2" v="1295"/>
    </bk>
    <bk>
      <rc t="2" v="1296"/>
    </bk>
    <bk>
      <rc t="2" v="1297"/>
    </bk>
    <bk>
      <rc t="2" v="1298"/>
    </bk>
    <bk>
      <rc t="2" v="1299"/>
    </bk>
    <bk>
      <rc t="2" v="1300"/>
    </bk>
    <bk>
      <rc t="2" v="1301"/>
    </bk>
    <bk>
      <rc t="2" v="1302"/>
    </bk>
    <bk>
      <rc t="2" v="1303"/>
    </bk>
    <bk>
      <rc t="2" v="1304"/>
    </bk>
    <bk>
      <rc t="2" v="1305"/>
    </bk>
    <bk>
      <rc t="2" v="1306"/>
    </bk>
    <bk>
      <rc t="2" v="1307"/>
    </bk>
    <bk>
      <rc t="2" v="1308"/>
    </bk>
    <bk>
      <rc t="2" v="1309"/>
    </bk>
    <bk>
      <rc t="2" v="1310"/>
    </bk>
    <bk>
      <rc t="2" v="1311"/>
    </bk>
    <bk>
      <rc t="2" v="1312"/>
    </bk>
    <bk>
      <rc t="2" v="1313"/>
    </bk>
    <bk>
      <rc t="2" v="1314"/>
    </bk>
    <bk>
      <rc t="2" v="1315"/>
    </bk>
    <bk>
      <rc t="2" v="1316"/>
    </bk>
    <bk>
      <rc t="2" v="1317"/>
    </bk>
    <bk>
      <rc t="2" v="1318"/>
    </bk>
    <bk>
      <rc t="2" v="1319"/>
    </bk>
    <bk>
      <rc t="2" v="1320"/>
    </bk>
    <bk>
      <rc t="2" v="1321"/>
    </bk>
    <bk>
      <rc t="2" v="1322"/>
    </bk>
    <bk>
      <rc t="2" v="1323"/>
    </bk>
    <bk>
      <rc t="2" v="1324"/>
    </bk>
    <bk>
      <rc t="2" v="1325"/>
    </bk>
    <bk>
      <rc t="2" v="1326"/>
    </bk>
    <bk>
      <rc t="2" v="1327"/>
    </bk>
    <bk>
      <rc t="2" v="1328"/>
    </bk>
    <bk>
      <rc t="2" v="1329"/>
    </bk>
    <bk>
      <rc t="2" v="1330"/>
    </bk>
    <bk>
      <rc t="2" v="1331"/>
    </bk>
    <bk>
      <rc t="2" v="1332"/>
    </bk>
    <bk>
      <rc t="2" v="1333"/>
    </bk>
    <bk>
      <rc t="2" v="1334"/>
    </bk>
    <bk>
      <rc t="2" v="1335"/>
    </bk>
    <bk>
      <rc t="2" v="1336"/>
    </bk>
    <bk>
      <rc t="2" v="1337"/>
    </bk>
    <bk>
      <rc t="2" v="1338"/>
    </bk>
    <bk>
      <rc t="2" v="1339"/>
    </bk>
    <bk>
      <rc t="2" v="1340"/>
    </bk>
    <bk>
      <rc t="2" v="1341"/>
    </bk>
    <bk>
      <rc t="2" v="1342"/>
    </bk>
    <bk>
      <rc t="2" v="1343"/>
    </bk>
    <bk>
      <rc t="2" v="1344"/>
    </bk>
    <bk>
      <rc t="2" v="1345"/>
    </bk>
    <bk>
      <rc t="2" v="1346"/>
    </bk>
    <bk>
      <rc t="2" v="1347"/>
    </bk>
    <bk>
      <rc t="2" v="1348"/>
    </bk>
    <bk>
      <rc t="2" v="1349"/>
    </bk>
    <bk>
      <rc t="2" v="1350"/>
    </bk>
    <bk>
      <rc t="2" v="1351"/>
    </bk>
    <bk>
      <rc t="2" v="1352"/>
    </bk>
    <bk>
      <rc t="2" v="1353"/>
    </bk>
    <bk>
      <rc t="2" v="1354"/>
    </bk>
    <bk>
      <rc t="2" v="1355"/>
    </bk>
    <bk>
      <rc t="2" v="1356"/>
    </bk>
    <bk>
      <rc t="2" v="1357"/>
    </bk>
    <bk>
      <rc t="2" v="1358"/>
    </bk>
    <bk>
      <rc t="2" v="1359"/>
    </bk>
    <bk>
      <rc t="2" v="1360"/>
    </bk>
    <bk>
      <rc t="2" v="1361"/>
    </bk>
    <bk>
      <rc t="2" v="1362"/>
    </bk>
    <bk>
      <rc t="2" v="1363"/>
    </bk>
    <bk>
      <rc t="2" v="1364"/>
    </bk>
    <bk>
      <rc t="2" v="1365"/>
    </bk>
    <bk>
      <rc t="2" v="1366"/>
    </bk>
    <bk>
      <rc t="2" v="1367"/>
    </bk>
    <bk>
      <rc t="2" v="1368"/>
    </bk>
    <bk>
      <rc t="2" v="1369"/>
    </bk>
    <bk>
      <rc t="2" v="1370"/>
    </bk>
    <bk>
      <rc t="2" v="1371"/>
    </bk>
    <bk>
      <rc t="2" v="1372"/>
    </bk>
    <bk>
      <rc t="2" v="1373"/>
    </bk>
    <bk>
      <rc t="2" v="1374"/>
    </bk>
    <bk>
      <rc t="2" v="1375"/>
    </bk>
    <bk>
      <rc t="2" v="1376"/>
    </bk>
    <bk>
      <rc t="2" v="1377"/>
    </bk>
    <bk>
      <rc t="2" v="1378"/>
    </bk>
    <bk>
      <rc t="2" v="1379"/>
    </bk>
    <bk>
      <rc t="2" v="1380"/>
    </bk>
    <bk>
      <rc t="2" v="1381"/>
    </bk>
    <bk>
      <rc t="2" v="1382"/>
    </bk>
    <bk>
      <rc t="2" v="1383"/>
    </bk>
    <bk>
      <rc t="2" v="1384"/>
    </bk>
    <bk>
      <rc t="2" v="1385"/>
    </bk>
    <bk>
      <rc t="2" v="1386"/>
    </bk>
    <bk>
      <rc t="2" v="1387"/>
    </bk>
    <bk>
      <rc t="2" v="1388"/>
    </bk>
    <bk>
      <rc t="2" v="1389"/>
    </bk>
    <bk>
      <rc t="2" v="1390"/>
    </bk>
    <bk>
      <rc t="2" v="1391"/>
    </bk>
    <bk>
      <rc t="2" v="1392"/>
    </bk>
    <bk>
      <rc t="2" v="1393"/>
    </bk>
    <bk>
      <rc t="2" v="1394"/>
    </bk>
    <bk>
      <rc t="2" v="1395"/>
    </bk>
    <bk>
      <rc t="2" v="1396"/>
    </bk>
    <bk>
      <rc t="2" v="1397"/>
    </bk>
    <bk>
      <rc t="2" v="1398"/>
    </bk>
    <bk>
      <rc t="2" v="1399"/>
    </bk>
    <bk>
      <rc t="2" v="1400"/>
    </bk>
    <bk>
      <rc t="2" v="1401"/>
    </bk>
    <bk>
      <rc t="2" v="1402"/>
    </bk>
    <bk>
      <rc t="2" v="1403"/>
    </bk>
    <bk>
      <rc t="2" v="1404"/>
    </bk>
    <bk>
      <rc t="2" v="1405"/>
    </bk>
    <bk>
      <rc t="2" v="1406"/>
    </bk>
    <bk>
      <rc t="2" v="1407"/>
    </bk>
    <bk>
      <rc t="2" v="1408"/>
    </bk>
    <bk>
      <rc t="2" v="1409"/>
    </bk>
    <bk>
      <rc t="2" v="1410"/>
    </bk>
    <bk>
      <rc t="2" v="1411"/>
    </bk>
    <bk>
      <rc t="2" v="1412"/>
    </bk>
    <bk>
      <rc t="2" v="1413"/>
    </bk>
    <bk>
      <rc t="2" v="1414"/>
    </bk>
    <bk>
      <rc t="2" v="1415"/>
    </bk>
    <bk>
      <rc t="2" v="1416"/>
    </bk>
    <bk>
      <rc t="2" v="1417"/>
    </bk>
    <bk>
      <rc t="2" v="1418"/>
    </bk>
    <bk>
      <rc t="2" v="1419"/>
    </bk>
    <bk>
      <rc t="2" v="1420"/>
    </bk>
    <bk>
      <rc t="2" v="1421"/>
    </bk>
    <bk>
      <rc t="2" v="1422"/>
    </bk>
    <bk>
      <rc t="2" v="1423"/>
    </bk>
    <bk>
      <rc t="2" v="1424"/>
    </bk>
    <bk>
      <rc t="2" v="1425"/>
    </bk>
    <bk>
      <rc t="2" v="1426"/>
    </bk>
    <bk>
      <rc t="2" v="1427"/>
    </bk>
    <bk>
      <rc t="2" v="1428"/>
    </bk>
    <bk>
      <rc t="2" v="1429"/>
    </bk>
    <bk>
      <rc t="2" v="1430"/>
    </bk>
    <bk>
      <rc t="2" v="1431"/>
    </bk>
    <bk>
      <rc t="2" v="1432"/>
    </bk>
    <bk>
      <rc t="2" v="1433"/>
    </bk>
    <bk>
      <rc t="2" v="1434"/>
    </bk>
    <bk>
      <rc t="2" v="1435"/>
    </bk>
    <bk>
      <rc t="2" v="1436"/>
    </bk>
    <bk>
      <rc t="2" v="1437"/>
    </bk>
    <bk>
      <rc t="2" v="1438"/>
    </bk>
    <bk>
      <rc t="2" v="1439"/>
    </bk>
    <bk>
      <rc t="2" v="1440"/>
    </bk>
    <bk>
      <rc t="2" v="1441"/>
    </bk>
    <bk>
      <rc t="2" v="1442"/>
    </bk>
    <bk>
      <rc t="2" v="1443"/>
    </bk>
    <bk>
      <rc t="2" v="1444"/>
    </bk>
    <bk>
      <rc t="2" v="1445"/>
    </bk>
    <bk>
      <rc t="2" v="1446"/>
    </bk>
    <bk>
      <rc t="2" v="1447"/>
    </bk>
    <bk>
      <rc t="2" v="1448"/>
    </bk>
    <bk>
      <rc t="2" v="1449"/>
    </bk>
    <bk>
      <rc t="2" v="1450"/>
    </bk>
    <bk>
      <rc t="2" v="1451"/>
    </bk>
    <bk>
      <rc t="2" v="1452"/>
    </bk>
    <bk>
      <rc t="2" v="1453"/>
    </bk>
    <bk>
      <rc t="2" v="1454"/>
    </bk>
    <bk>
      <rc t="2" v="1455"/>
    </bk>
    <bk>
      <rc t="2" v="1456"/>
    </bk>
    <bk>
      <rc t="2" v="1457"/>
    </bk>
    <bk>
      <rc t="2" v="1458"/>
    </bk>
    <bk>
      <rc t="2" v="1459"/>
    </bk>
    <bk>
      <rc t="2" v="1460"/>
    </bk>
    <bk>
      <rc t="2" v="1461"/>
    </bk>
    <bk>
      <rc t="2" v="1462"/>
    </bk>
    <bk>
      <rc t="2" v="1463"/>
    </bk>
    <bk>
      <rc t="2" v="1464"/>
    </bk>
    <bk>
      <rc t="2" v="1465"/>
    </bk>
    <bk>
      <rc t="2" v="1466"/>
    </bk>
    <bk>
      <rc t="2" v="1467"/>
    </bk>
    <bk>
      <rc t="2" v="1468"/>
    </bk>
    <bk>
      <rc t="2" v="1469"/>
    </bk>
    <bk>
      <rc t="2" v="1470"/>
    </bk>
    <bk>
      <rc t="2" v="1471"/>
    </bk>
    <bk>
      <rc t="2" v="1472"/>
    </bk>
    <bk>
      <rc t="2" v="1473"/>
    </bk>
    <bk>
      <rc t="2" v="1474"/>
    </bk>
    <bk>
      <rc t="2" v="1475"/>
    </bk>
    <bk>
      <rc t="2" v="1476"/>
    </bk>
    <bk>
      <rc t="2" v="1477"/>
    </bk>
    <bk>
      <rc t="2" v="1478"/>
    </bk>
    <bk>
      <rc t="2" v="1479"/>
    </bk>
    <bk>
      <rc t="2" v="1480"/>
    </bk>
    <bk>
      <rc t="2" v="1481"/>
    </bk>
    <bk>
      <rc t="2" v="1482"/>
    </bk>
    <bk>
      <rc t="2" v="1483"/>
    </bk>
    <bk>
      <rc t="2" v="1484"/>
    </bk>
    <bk>
      <rc t="2" v="1485"/>
    </bk>
    <bk>
      <rc t="2" v="1486"/>
    </bk>
    <bk>
      <rc t="2" v="1487"/>
    </bk>
    <bk>
      <rc t="2" v="1488"/>
    </bk>
    <bk>
      <rc t="2" v="1489"/>
    </bk>
    <bk>
      <rc t="2" v="1490"/>
    </bk>
    <bk>
      <rc t="2" v="1491"/>
    </bk>
    <bk>
      <rc t="2" v="1492"/>
    </bk>
    <bk>
      <rc t="2" v="1493"/>
    </bk>
    <bk>
      <rc t="2" v="1494"/>
    </bk>
    <bk>
      <rc t="2" v="1495"/>
    </bk>
    <bk>
      <rc t="2" v="1496"/>
    </bk>
    <bk>
      <rc t="2" v="1497"/>
    </bk>
    <bk>
      <rc t="2" v="1498"/>
    </bk>
    <bk>
      <rc t="2" v="1499"/>
    </bk>
    <bk>
      <rc t="2" v="1500"/>
    </bk>
    <bk>
      <rc t="2" v="1501"/>
    </bk>
    <bk>
      <rc t="2" v="1502"/>
    </bk>
    <bk>
      <rc t="2" v="1503"/>
    </bk>
    <bk>
      <rc t="2" v="1504"/>
    </bk>
    <bk>
      <rc t="2" v="1505"/>
    </bk>
    <bk>
      <rc t="2" v="1506"/>
    </bk>
    <bk>
      <rc t="2" v="1507"/>
    </bk>
    <bk>
      <rc t="2" v="1508"/>
    </bk>
    <bk>
      <rc t="2" v="1509"/>
    </bk>
    <bk>
      <rc t="2" v="1510"/>
    </bk>
    <bk>
      <rc t="2" v="1511"/>
    </bk>
    <bk>
      <rc t="2" v="1512"/>
    </bk>
    <bk>
      <rc t="2" v="1513"/>
    </bk>
    <bk>
      <rc t="2" v="1514"/>
    </bk>
    <bk>
      <rc t="2" v="1515"/>
    </bk>
    <bk>
      <rc t="2" v="1516"/>
    </bk>
    <bk>
      <rc t="2" v="1517"/>
    </bk>
    <bk>
      <rc t="2" v="1518"/>
    </bk>
    <bk>
      <rc t="2" v="1519"/>
    </bk>
    <bk>
      <rc t="2" v="1520"/>
    </bk>
    <bk>
      <rc t="2" v="1521"/>
    </bk>
    <bk>
      <rc t="2" v="1522"/>
    </bk>
    <bk>
      <rc t="2" v="1523"/>
    </bk>
    <bk>
      <rc t="2" v="1524"/>
    </bk>
    <bk>
      <rc t="2" v="1525"/>
    </bk>
    <bk>
      <rc t="2" v="1526"/>
    </bk>
    <bk>
      <rc t="2" v="1527"/>
    </bk>
    <bk>
      <rc t="2" v="1528"/>
    </bk>
    <bk>
      <rc t="2" v="1529"/>
    </bk>
    <bk>
      <rc t="2" v="1530"/>
    </bk>
    <bk>
      <rc t="2" v="1531"/>
    </bk>
    <bk>
      <rc t="2" v="1532"/>
    </bk>
    <bk>
      <rc t="2" v="1533"/>
    </bk>
    <bk>
      <rc t="2" v="1534"/>
    </bk>
    <bk>
      <rc t="2" v="1535"/>
    </bk>
    <bk>
      <rc t="2" v="1536"/>
    </bk>
    <bk>
      <rc t="2" v="1537"/>
    </bk>
    <bk>
      <rc t="2" v="1538"/>
    </bk>
    <bk>
      <rc t="2" v="1539"/>
    </bk>
    <bk>
      <rc t="2" v="1540"/>
    </bk>
    <bk>
      <rc t="2" v="1541"/>
    </bk>
    <bk>
      <rc t="2" v="1542"/>
    </bk>
    <bk>
      <rc t="2" v="1543"/>
    </bk>
    <bk>
      <rc t="2" v="1544"/>
    </bk>
    <bk>
      <rc t="2" v="1545"/>
    </bk>
    <bk>
      <rc t="2" v="1546"/>
    </bk>
    <bk>
      <rc t="2" v="1547"/>
    </bk>
    <bk>
      <rc t="2" v="1548"/>
    </bk>
    <bk>
      <rc t="2" v="1549"/>
    </bk>
    <bk>
      <rc t="2" v="1550"/>
    </bk>
    <bk>
      <rc t="2" v="1551"/>
    </bk>
    <bk>
      <rc t="2" v="1552"/>
    </bk>
    <bk>
      <rc t="2" v="1553"/>
    </bk>
    <bk>
      <rc t="2" v="1554"/>
    </bk>
    <bk>
      <rc t="2" v="1555"/>
    </bk>
    <bk>
      <rc t="2" v="1556"/>
    </bk>
    <bk>
      <rc t="2" v="1557"/>
    </bk>
    <bk>
      <rc t="2" v="1558"/>
    </bk>
    <bk>
      <rc t="2" v="1559"/>
    </bk>
    <bk>
      <rc t="2" v="1560"/>
    </bk>
    <bk>
      <rc t="2" v="1561"/>
    </bk>
    <bk>
      <rc t="2" v="1562"/>
    </bk>
    <bk>
      <rc t="2" v="1563"/>
    </bk>
    <bk>
      <rc t="2" v="1564"/>
    </bk>
    <bk>
      <rc t="2" v="1565"/>
    </bk>
    <bk>
      <rc t="2" v="1566"/>
    </bk>
    <bk>
      <rc t="2" v="1567"/>
    </bk>
    <bk>
      <rc t="2" v="1568"/>
    </bk>
    <bk>
      <rc t="2" v="1569"/>
    </bk>
    <bk>
      <rc t="2" v="1570"/>
    </bk>
    <bk>
      <rc t="2" v="1571"/>
    </bk>
    <bk>
      <rc t="2" v="1572"/>
    </bk>
    <bk>
      <rc t="2" v="1573"/>
    </bk>
    <bk>
      <rc t="2" v="1574"/>
    </bk>
    <bk>
      <rc t="2" v="1575"/>
    </bk>
    <bk>
      <rc t="2" v="1576"/>
    </bk>
    <bk>
      <rc t="2" v="1577"/>
    </bk>
    <bk>
      <rc t="2" v="1578"/>
    </bk>
    <bk>
      <rc t="2" v="1579"/>
    </bk>
    <bk>
      <rc t="2" v="1580"/>
    </bk>
    <bk>
      <rc t="2" v="1581"/>
    </bk>
    <bk>
      <rc t="2" v="1582"/>
    </bk>
    <bk>
      <rc t="2" v="1583"/>
    </bk>
    <bk>
      <rc t="2" v="1584"/>
    </bk>
    <bk>
      <rc t="2" v="1585"/>
    </bk>
    <bk>
      <rc t="2" v="1586"/>
    </bk>
    <bk>
      <rc t="2" v="1587"/>
    </bk>
    <bk>
      <rc t="2" v="1588"/>
    </bk>
    <bk>
      <rc t="2" v="1589"/>
    </bk>
    <bk>
      <rc t="2" v="1590"/>
    </bk>
    <bk>
      <rc t="2" v="1591"/>
    </bk>
    <bk>
      <rc t="2" v="1592"/>
    </bk>
    <bk>
      <rc t="2" v="1593"/>
    </bk>
    <bk>
      <rc t="2" v="1594"/>
    </bk>
    <bk>
      <rc t="2" v="1595"/>
    </bk>
    <bk>
      <rc t="2" v="1596"/>
    </bk>
    <bk>
      <rc t="2" v="1597"/>
    </bk>
    <bk>
      <rc t="2" v="1598"/>
    </bk>
    <bk>
      <rc t="2" v="1599"/>
    </bk>
    <bk>
      <rc t="2" v="1600"/>
    </bk>
    <bk>
      <rc t="2" v="1601"/>
    </bk>
    <bk>
      <rc t="2" v="1602"/>
    </bk>
    <bk>
      <rc t="2" v="1603"/>
    </bk>
    <bk>
      <rc t="2" v="1604"/>
    </bk>
    <bk>
      <rc t="2" v="1605"/>
    </bk>
    <bk>
      <rc t="2" v="1606"/>
    </bk>
    <bk>
      <rc t="2" v="1607"/>
    </bk>
    <bk>
      <rc t="2" v="1608"/>
    </bk>
    <bk>
      <rc t="2" v="1609"/>
    </bk>
    <bk>
      <rc t="2" v="1610"/>
    </bk>
    <bk>
      <rc t="2" v="1611"/>
    </bk>
    <bk>
      <rc t="2" v="1612"/>
    </bk>
    <bk>
      <rc t="2" v="1613"/>
    </bk>
    <bk>
      <rc t="2" v="1614"/>
    </bk>
    <bk>
      <rc t="2" v="1615"/>
    </bk>
    <bk>
      <rc t="2" v="1616"/>
    </bk>
    <bk>
      <rc t="2" v="1617"/>
    </bk>
    <bk>
      <rc t="2" v="1618"/>
    </bk>
    <bk>
      <rc t="2" v="1619"/>
    </bk>
    <bk>
      <rc t="2" v="1620"/>
    </bk>
    <bk>
      <rc t="2" v="1621"/>
    </bk>
    <bk>
      <rc t="2" v="1622"/>
    </bk>
    <bk>
      <rc t="2" v="1623"/>
    </bk>
    <bk>
      <rc t="2" v="1624"/>
    </bk>
    <bk>
      <rc t="2" v="1625"/>
    </bk>
    <bk>
      <rc t="2" v="1626"/>
    </bk>
    <bk>
      <rc t="2" v="1627"/>
    </bk>
    <bk>
      <rc t="2" v="1628"/>
    </bk>
    <bk>
      <rc t="2" v="1629"/>
    </bk>
    <bk>
      <rc t="2" v="1630"/>
    </bk>
    <bk>
      <rc t="2" v="1631"/>
    </bk>
    <bk>
      <rc t="2" v="1632"/>
    </bk>
    <bk>
      <rc t="2" v="1633"/>
    </bk>
    <bk>
      <rc t="2" v="1634"/>
    </bk>
    <bk>
      <rc t="2" v="1635"/>
    </bk>
    <bk>
      <rc t="2" v="1636"/>
    </bk>
    <bk>
      <rc t="2" v="1637"/>
    </bk>
    <bk>
      <rc t="2" v="1638"/>
    </bk>
    <bk>
      <rc t="2" v="1639"/>
    </bk>
    <bk>
      <rc t="2" v="1640"/>
    </bk>
    <bk>
      <rc t="2" v="1641"/>
    </bk>
    <bk>
      <rc t="2" v="1642"/>
    </bk>
    <bk>
      <rc t="2" v="1643"/>
    </bk>
    <bk>
      <rc t="2" v="1644"/>
    </bk>
    <bk>
      <rc t="2" v="1645"/>
    </bk>
    <bk>
      <rc t="2" v="1646"/>
    </bk>
    <bk>
      <rc t="2" v="1647"/>
    </bk>
    <bk>
      <rc t="2" v="1648"/>
    </bk>
    <bk>
      <rc t="2" v="1649"/>
    </bk>
    <bk>
      <rc t="2" v="1650"/>
    </bk>
    <bk>
      <rc t="2" v="1651"/>
    </bk>
    <bk>
      <rc t="2" v="1652"/>
    </bk>
    <bk>
      <rc t="2" v="1653"/>
    </bk>
    <bk>
      <rc t="2" v="1654"/>
    </bk>
    <bk>
      <rc t="2" v="1655"/>
    </bk>
    <bk>
      <rc t="2" v="1656"/>
    </bk>
    <bk>
      <rc t="2" v="1657"/>
    </bk>
    <bk>
      <rc t="2" v="1658"/>
    </bk>
    <bk>
      <rc t="2" v="1659"/>
    </bk>
    <bk>
      <rc t="2" v="1660"/>
    </bk>
    <bk>
      <rc t="2" v="1661"/>
    </bk>
    <bk>
      <rc t="2" v="1662"/>
    </bk>
    <bk>
      <rc t="2" v="1663"/>
    </bk>
    <bk>
      <rc t="2" v="1664"/>
    </bk>
    <bk>
      <rc t="2" v="1665"/>
    </bk>
    <bk>
      <rc t="2" v="1666"/>
    </bk>
    <bk>
      <rc t="2" v="1667"/>
    </bk>
    <bk>
      <rc t="2" v="1668"/>
    </bk>
    <bk>
      <rc t="2" v="1669"/>
    </bk>
    <bk>
      <rc t="2" v="1670"/>
    </bk>
    <bk>
      <rc t="2" v="1671"/>
    </bk>
    <bk>
      <rc t="2" v="1672"/>
    </bk>
    <bk>
      <rc t="2" v="1673"/>
    </bk>
    <bk>
      <rc t="2" v="1674"/>
    </bk>
    <bk>
      <rc t="2" v="1675"/>
    </bk>
    <bk>
      <rc t="2" v="1676"/>
    </bk>
    <bk>
      <rc t="2" v="1677"/>
    </bk>
    <bk>
      <rc t="2" v="1678"/>
    </bk>
    <bk>
      <rc t="2" v="1679"/>
    </bk>
    <bk>
      <rc t="2" v="1680"/>
    </bk>
    <bk>
      <rc t="2" v="1681"/>
    </bk>
    <bk>
      <rc t="2" v="1682"/>
    </bk>
    <bk>
      <rc t="2" v="1683"/>
    </bk>
    <bk>
      <rc t="2" v="1684"/>
    </bk>
    <bk>
      <rc t="2" v="1685"/>
    </bk>
    <bk>
      <rc t="2" v="1686"/>
    </bk>
    <bk>
      <rc t="2" v="1687"/>
    </bk>
    <bk>
      <rc t="2" v="1688"/>
    </bk>
    <bk>
      <rc t="2" v="1689"/>
    </bk>
    <bk>
      <rc t="2" v="1690"/>
    </bk>
    <bk>
      <rc t="2" v="1691"/>
    </bk>
    <bk>
      <rc t="2" v="1692"/>
    </bk>
    <bk>
      <rc t="2" v="1693"/>
    </bk>
    <bk>
      <rc t="2" v="1694"/>
    </bk>
    <bk>
      <rc t="2" v="1695"/>
    </bk>
    <bk>
      <rc t="2" v="1696"/>
    </bk>
    <bk>
      <rc t="2" v="1697"/>
    </bk>
    <bk>
      <rc t="2" v="1698"/>
    </bk>
    <bk>
      <rc t="2" v="1699"/>
    </bk>
    <bk>
      <rc t="2" v="1700"/>
    </bk>
    <bk>
      <rc t="2" v="1701"/>
    </bk>
    <bk>
      <rc t="2" v="1702"/>
    </bk>
    <bk>
      <rc t="2" v="1703"/>
    </bk>
    <bk>
      <rc t="2" v="1704"/>
    </bk>
    <bk>
      <rc t="2" v="1705"/>
    </bk>
    <bk>
      <rc t="2" v="1706"/>
    </bk>
    <bk>
      <rc t="2" v="1707"/>
    </bk>
    <bk>
      <rc t="2" v="1708"/>
    </bk>
    <bk>
      <rc t="2" v="1709"/>
    </bk>
    <bk>
      <rc t="2" v="1710"/>
    </bk>
    <bk>
      <rc t="2" v="1711"/>
    </bk>
    <bk>
      <rc t="2" v="1712"/>
    </bk>
    <bk>
      <rc t="2" v="1713"/>
    </bk>
    <bk>
      <rc t="2" v="1714"/>
    </bk>
    <bk>
      <rc t="2" v="1715"/>
    </bk>
    <bk>
      <rc t="2" v="1716"/>
    </bk>
    <bk>
      <rc t="2" v="1717"/>
    </bk>
    <bk>
      <rc t="2" v="1718"/>
    </bk>
    <bk>
      <rc t="2" v="1719"/>
    </bk>
    <bk>
      <rc t="2" v="1720"/>
    </bk>
    <bk>
      <rc t="2" v="1721"/>
    </bk>
    <bk>
      <rc t="2" v="1722"/>
    </bk>
    <bk>
      <rc t="2" v="1723"/>
    </bk>
    <bk>
      <rc t="2" v="1724"/>
    </bk>
    <bk>
      <rc t="2" v="1725"/>
    </bk>
    <bk>
      <rc t="2" v="1726"/>
    </bk>
    <bk>
      <rc t="2" v="1727"/>
    </bk>
    <bk>
      <rc t="2" v="1728"/>
    </bk>
    <bk>
      <rc t="2" v="1729"/>
    </bk>
    <bk>
      <rc t="2" v="1730"/>
    </bk>
    <bk>
      <rc t="2" v="1731"/>
    </bk>
    <bk>
      <rc t="2" v="1732"/>
    </bk>
    <bk>
      <rc t="2" v="1733"/>
    </bk>
    <bk>
      <rc t="2" v="1734"/>
    </bk>
    <bk>
      <rc t="2" v="1735"/>
    </bk>
    <bk>
      <rc t="2" v="1736"/>
    </bk>
    <bk>
      <rc t="2" v="1737"/>
    </bk>
    <bk>
      <rc t="2" v="1738"/>
    </bk>
    <bk>
      <rc t="2" v="1739"/>
    </bk>
    <bk>
      <rc t="2" v="1740"/>
    </bk>
    <bk>
      <rc t="2" v="1741"/>
    </bk>
    <bk>
      <rc t="2" v="1742"/>
    </bk>
    <bk>
      <rc t="2" v="1743"/>
    </bk>
    <bk>
      <rc t="2" v="1744"/>
    </bk>
    <bk>
      <rc t="2" v="1745"/>
    </bk>
    <bk>
      <rc t="2" v="1746"/>
    </bk>
    <bk>
      <rc t="2" v="1747"/>
    </bk>
    <bk>
      <rc t="2" v="1748"/>
    </bk>
    <bk>
      <rc t="2" v="1749"/>
    </bk>
    <bk>
      <rc t="2" v="1750"/>
    </bk>
    <bk>
      <rc t="2" v="1751"/>
    </bk>
    <bk>
      <rc t="2" v="1752"/>
    </bk>
    <bk>
      <rc t="2" v="1753"/>
    </bk>
    <bk>
      <rc t="2" v="1754"/>
    </bk>
    <bk>
      <rc t="2" v="1755"/>
    </bk>
    <bk>
      <rc t="2" v="1756"/>
    </bk>
    <bk>
      <rc t="2" v="1757"/>
    </bk>
    <bk>
      <rc t="2" v="1758"/>
    </bk>
    <bk>
      <rc t="2" v="1759"/>
    </bk>
    <bk>
      <rc t="2" v="1760"/>
    </bk>
    <bk>
      <rc t="2" v="1761"/>
    </bk>
    <bk>
      <rc t="2" v="1762"/>
    </bk>
    <bk>
      <rc t="2" v="1763"/>
    </bk>
    <bk>
      <rc t="2" v="1764"/>
    </bk>
    <bk>
      <rc t="2" v="1765"/>
    </bk>
    <bk>
      <rc t="2" v="1766"/>
    </bk>
    <bk>
      <rc t="2" v="1767"/>
    </bk>
    <bk>
      <rc t="2" v="1768"/>
    </bk>
    <bk>
      <rc t="2" v="1769"/>
    </bk>
    <bk>
      <rc t="2" v="1770"/>
    </bk>
    <bk>
      <rc t="2" v="1771"/>
    </bk>
    <bk>
      <rc t="2" v="1772"/>
    </bk>
    <bk>
      <rc t="2" v="1773"/>
    </bk>
    <bk>
      <rc t="2" v="1774"/>
    </bk>
    <bk>
      <rc t="2" v="1775"/>
    </bk>
    <bk>
      <rc t="2" v="1776"/>
    </bk>
    <bk>
      <rc t="2" v="1777"/>
    </bk>
    <bk>
      <rc t="2" v="1778"/>
    </bk>
    <bk>
      <rc t="2" v="1779"/>
    </bk>
    <bk>
      <rc t="2" v="1780"/>
    </bk>
    <bk>
      <rc t="2" v="1781"/>
    </bk>
    <bk>
      <rc t="2" v="1782"/>
    </bk>
    <bk>
      <rc t="2" v="1783"/>
    </bk>
    <bk>
      <rc t="2" v="1784"/>
    </bk>
    <bk>
      <rc t="2" v="1785"/>
    </bk>
    <bk>
      <rc t="2" v="1786"/>
    </bk>
    <bk>
      <rc t="2" v="1787"/>
    </bk>
    <bk>
      <rc t="2" v="1788"/>
    </bk>
    <bk>
      <rc t="2" v="1789"/>
    </bk>
    <bk>
      <rc t="2" v="1790"/>
    </bk>
    <bk>
      <rc t="2" v="1791"/>
    </bk>
    <bk>
      <rc t="2" v="1792"/>
    </bk>
    <bk>
      <rc t="2" v="1793"/>
    </bk>
    <bk>
      <rc t="2" v="1794"/>
    </bk>
    <bk>
      <rc t="2" v="1795"/>
    </bk>
    <bk>
      <rc t="2" v="1796"/>
    </bk>
    <bk>
      <rc t="2" v="1797"/>
    </bk>
    <bk>
      <rc t="2" v="1798"/>
    </bk>
    <bk>
      <rc t="2" v="1799"/>
    </bk>
    <bk>
      <rc t="2" v="1800"/>
    </bk>
    <bk>
      <rc t="2" v="1801"/>
    </bk>
    <bk>
      <rc t="2" v="1802"/>
    </bk>
    <bk>
      <rc t="2" v="1803"/>
    </bk>
    <bk>
      <rc t="2" v="1804"/>
    </bk>
    <bk>
      <rc t="2" v="1805"/>
    </bk>
    <bk>
      <rc t="2" v="1806"/>
    </bk>
    <bk>
      <rc t="2" v="1807"/>
    </bk>
    <bk>
      <rc t="2" v="1808"/>
    </bk>
    <bk>
      <rc t="2" v="1809"/>
    </bk>
    <bk>
      <rc t="2" v="1810"/>
    </bk>
    <bk>
      <rc t="2" v="1811"/>
    </bk>
    <bk>
      <rc t="2" v="1812"/>
    </bk>
    <bk>
      <rc t="2" v="1813"/>
    </bk>
    <bk>
      <rc t="2" v="1814"/>
    </bk>
    <bk>
      <rc t="2" v="1815"/>
    </bk>
    <bk>
      <rc t="2" v="1816"/>
    </bk>
    <bk>
      <rc t="2" v="1817"/>
    </bk>
    <bk>
      <rc t="2" v="1818"/>
    </bk>
    <bk>
      <rc t="2" v="1819"/>
    </bk>
    <bk>
      <rc t="2" v="1820"/>
    </bk>
    <bk>
      <rc t="2" v="1821"/>
    </bk>
    <bk>
      <rc t="2" v="1822"/>
    </bk>
    <bk>
      <rc t="2" v="1823"/>
    </bk>
    <bk>
      <rc t="2" v="1824"/>
    </bk>
    <bk>
      <rc t="2" v="1825"/>
    </bk>
    <bk>
      <rc t="2" v="1826"/>
    </bk>
    <bk>
      <rc t="2" v="1827"/>
    </bk>
    <bk>
      <rc t="2" v="1828"/>
    </bk>
    <bk>
      <rc t="2" v="1829"/>
    </bk>
    <bk>
      <rc t="2" v="1830"/>
    </bk>
    <bk>
      <rc t="2" v="1831"/>
    </bk>
    <bk>
      <rc t="2" v="1832"/>
    </bk>
    <bk>
      <rc t="2" v="1833"/>
    </bk>
    <bk>
      <rc t="2" v="1834"/>
    </bk>
    <bk>
      <rc t="2" v="1835"/>
    </bk>
    <bk>
      <rc t="2" v="1836"/>
    </bk>
    <bk>
      <rc t="2" v="1837"/>
    </bk>
    <bk>
      <rc t="2" v="1838"/>
    </bk>
    <bk>
      <rc t="2" v="1839"/>
    </bk>
    <bk>
      <rc t="2" v="1840"/>
    </bk>
    <bk>
      <rc t="2" v="1841"/>
    </bk>
    <bk>
      <rc t="2" v="1842"/>
    </bk>
    <bk>
      <rc t="2" v="1843"/>
    </bk>
    <bk>
      <rc t="2" v="1844"/>
    </bk>
    <bk>
      <rc t="2" v="1845"/>
    </bk>
    <bk>
      <rc t="2" v="1846"/>
    </bk>
    <bk>
      <rc t="2" v="1847"/>
    </bk>
    <bk>
      <rc t="2" v="1848"/>
    </bk>
    <bk>
      <rc t="2" v="1849"/>
    </bk>
    <bk>
      <rc t="2" v="1850"/>
    </bk>
    <bk>
      <rc t="2" v="1851"/>
    </bk>
    <bk>
      <rc t="2" v="1852"/>
    </bk>
    <bk>
      <rc t="2" v="1853"/>
    </bk>
    <bk>
      <rc t="2" v="1854"/>
    </bk>
    <bk>
      <rc t="2" v="1855"/>
    </bk>
    <bk>
      <rc t="2" v="1856"/>
    </bk>
    <bk>
      <rc t="2" v="1857"/>
    </bk>
    <bk>
      <rc t="2" v="1858"/>
    </bk>
    <bk>
      <rc t="2" v="1859"/>
    </bk>
    <bk>
      <rc t="2" v="1860"/>
    </bk>
    <bk>
      <rc t="2" v="1861"/>
    </bk>
    <bk>
      <rc t="2" v="1862"/>
    </bk>
    <bk>
      <rc t="2" v="1863"/>
    </bk>
    <bk>
      <rc t="2" v="1864"/>
    </bk>
    <bk>
      <rc t="2" v="1865"/>
    </bk>
    <bk>
      <rc t="2" v="1866"/>
    </bk>
    <bk>
      <rc t="2" v="1867"/>
    </bk>
    <bk>
      <rc t="2" v="1868"/>
    </bk>
    <bk>
      <rc t="2" v="1869"/>
    </bk>
    <bk>
      <rc t="2" v="1870"/>
    </bk>
    <bk>
      <rc t="2" v="1871"/>
    </bk>
    <bk>
      <rc t="2" v="1872"/>
    </bk>
    <bk>
      <rc t="2" v="1873"/>
    </bk>
    <bk>
      <rc t="2" v="1874"/>
    </bk>
    <bk>
      <rc t="2" v="1875"/>
    </bk>
    <bk>
      <rc t="2" v="1876"/>
    </bk>
    <bk>
      <rc t="2" v="1877"/>
    </bk>
    <bk>
      <rc t="2" v="1878"/>
    </bk>
    <bk>
      <rc t="2" v="1879"/>
    </bk>
    <bk>
      <rc t="2" v="1880"/>
    </bk>
    <bk>
      <rc t="2" v="1881"/>
    </bk>
    <bk>
      <rc t="2" v="1882"/>
    </bk>
    <bk>
      <rc t="2" v="1883"/>
    </bk>
    <bk>
      <rc t="2" v="1884"/>
    </bk>
    <bk>
      <rc t="2" v="1885"/>
    </bk>
    <bk>
      <rc t="2" v="1886"/>
    </bk>
    <bk>
      <rc t="2" v="1887"/>
    </bk>
    <bk>
      <rc t="2" v="1888"/>
    </bk>
    <bk>
      <rc t="2" v="1889"/>
    </bk>
    <bk>
      <rc t="2" v="1890"/>
    </bk>
    <bk>
      <rc t="2" v="1891"/>
    </bk>
    <bk>
      <rc t="2" v="1892"/>
    </bk>
    <bk>
      <rc t="2" v="1893"/>
    </bk>
    <bk>
      <rc t="2" v="1894"/>
    </bk>
    <bk>
      <rc t="2" v="1895"/>
    </bk>
    <bk>
      <rc t="2" v="1896"/>
    </bk>
    <bk>
      <rc t="2" v="1897"/>
    </bk>
    <bk>
      <rc t="2" v="1898"/>
    </bk>
    <bk>
      <rc t="2" v="1899"/>
    </bk>
    <bk>
      <rc t="2" v="1900"/>
    </bk>
    <bk>
      <rc t="2" v="1901"/>
    </bk>
    <bk>
      <rc t="2" v="1902"/>
    </bk>
    <bk>
      <rc t="2" v="1903"/>
    </bk>
    <bk>
      <rc t="2" v="1904"/>
    </bk>
    <bk>
      <rc t="2" v="1905"/>
    </bk>
    <bk>
      <rc t="2" v="1906"/>
    </bk>
    <bk>
      <rc t="2" v="1907"/>
    </bk>
    <bk>
      <rc t="2" v="1908"/>
    </bk>
    <bk>
      <rc t="2" v="1909"/>
    </bk>
    <bk>
      <rc t="2" v="1910"/>
    </bk>
    <bk>
      <rc t="2" v="1911"/>
    </bk>
    <bk>
      <rc t="2" v="1912"/>
    </bk>
    <bk>
      <rc t="2" v="1913"/>
    </bk>
    <bk>
      <rc t="2" v="1914"/>
    </bk>
    <bk>
      <rc t="2" v="1915"/>
    </bk>
    <bk>
      <rc t="2" v="1916"/>
    </bk>
    <bk>
      <rc t="2" v="1917"/>
    </bk>
    <bk>
      <rc t="2" v="1918"/>
    </bk>
    <bk>
      <rc t="2" v="1919"/>
    </bk>
    <bk>
      <rc t="2" v="1920"/>
    </bk>
    <bk>
      <rc t="2" v="1921"/>
    </bk>
    <bk>
      <rc t="2" v="1922"/>
    </bk>
    <bk>
      <rc t="2" v="1923"/>
    </bk>
    <bk>
      <rc t="2" v="1924"/>
    </bk>
    <bk>
      <rc t="2" v="1925"/>
    </bk>
    <bk>
      <rc t="2" v="1926"/>
    </bk>
    <bk>
      <rc t="2" v="1927"/>
    </bk>
    <bk>
      <rc t="2" v="1928"/>
    </bk>
    <bk>
      <rc t="2" v="1929"/>
    </bk>
    <bk>
      <rc t="2" v="1930"/>
    </bk>
    <bk>
      <rc t="2" v="1931"/>
    </bk>
    <bk>
      <rc t="2" v="1932"/>
    </bk>
    <bk>
      <rc t="2" v="1933"/>
    </bk>
    <bk>
      <rc t="2" v="1934"/>
    </bk>
    <bk>
      <rc t="2" v="1935"/>
    </bk>
    <bk>
      <rc t="2" v="1936"/>
    </bk>
    <bk>
      <rc t="2" v="1937"/>
    </bk>
    <bk>
      <rc t="2" v="1938"/>
    </bk>
    <bk>
      <rc t="2" v="1939"/>
    </bk>
    <bk>
      <rc t="2" v="1940"/>
    </bk>
    <bk>
      <rc t="2" v="1941"/>
    </bk>
    <bk>
      <rc t="2" v="1942"/>
    </bk>
    <bk>
      <rc t="2" v="1943"/>
    </bk>
    <bk>
      <rc t="2" v="1944"/>
    </bk>
    <bk>
      <rc t="2" v="1945"/>
    </bk>
    <bk>
      <rc t="2" v="1946"/>
    </bk>
    <bk>
      <rc t="2" v="1947"/>
    </bk>
    <bk>
      <rc t="2" v="1948"/>
    </bk>
    <bk>
      <rc t="2" v="1949"/>
    </bk>
    <bk>
      <rc t="2" v="1950"/>
    </bk>
    <bk>
      <rc t="2" v="1951"/>
    </bk>
    <bk>
      <rc t="2" v="1952"/>
    </bk>
    <bk>
      <rc t="2" v="1953"/>
    </bk>
    <bk>
      <rc t="2" v="1954"/>
    </bk>
    <bk>
      <rc t="2" v="1955"/>
    </bk>
    <bk>
      <rc t="2" v="1956"/>
    </bk>
    <bk>
      <rc t="2" v="1957"/>
    </bk>
    <bk>
      <rc t="2" v="1958"/>
    </bk>
    <bk>
      <rc t="2" v="1959"/>
    </bk>
    <bk>
      <rc t="2" v="1960"/>
    </bk>
    <bk>
      <rc t="2" v="1961"/>
    </bk>
    <bk>
      <rc t="2" v="1962"/>
    </bk>
    <bk>
      <rc t="2" v="1963"/>
    </bk>
    <bk>
      <rc t="2" v="1964"/>
    </bk>
    <bk>
      <rc t="2" v="1965"/>
    </bk>
    <bk>
      <rc t="2" v="1966"/>
    </bk>
    <bk>
      <rc t="2" v="1967"/>
    </bk>
    <bk>
      <rc t="2" v="1968"/>
    </bk>
    <bk>
      <rc t="2" v="1969"/>
    </bk>
    <bk>
      <rc t="2" v="1970"/>
    </bk>
    <bk>
      <rc t="2" v="1971"/>
    </bk>
    <bk>
      <rc t="2" v="1972"/>
    </bk>
    <bk>
      <rc t="2" v="1973"/>
    </bk>
    <bk>
      <rc t="2" v="1974"/>
    </bk>
    <bk>
      <rc t="2" v="1975"/>
    </bk>
    <bk>
      <rc t="2" v="1976"/>
    </bk>
    <bk>
      <rc t="2" v="1977"/>
    </bk>
    <bk>
      <rc t="2" v="1978"/>
    </bk>
    <bk>
      <rc t="2" v="1979"/>
    </bk>
    <bk>
      <rc t="2" v="1980"/>
    </bk>
    <bk>
      <rc t="2" v="1981"/>
    </bk>
    <bk>
      <rc t="2" v="1982"/>
    </bk>
    <bk>
      <rc t="2" v="1983"/>
    </bk>
    <bk>
      <rc t="2" v="1984"/>
    </bk>
    <bk>
      <rc t="2" v="1985"/>
    </bk>
    <bk>
      <rc t="2" v="1986"/>
    </bk>
  </valueMetadata>
</metadata>
</file>

<file path=xl/sharedStrings.xml><?xml version="1.0" encoding="utf-8"?>
<sst xmlns="http://schemas.openxmlformats.org/spreadsheetml/2006/main" count="30" uniqueCount="27">
  <si>
    <t>Crypto/Currency</t>
  </si>
  <si>
    <t>daily return</t>
  </si>
  <si>
    <t>Current Price</t>
  </si>
  <si>
    <t>EUR/USD</t>
  </si>
  <si>
    <t>Annual Crypto Return</t>
  </si>
  <si>
    <t>Return in €</t>
  </si>
  <si>
    <t xml:space="preserve">Daily return </t>
  </si>
  <si>
    <t>Close</t>
  </si>
  <si>
    <t>Sigma</t>
  </si>
  <si>
    <t>Daily Volatility</t>
  </si>
  <si>
    <t>Date</t>
  </si>
  <si>
    <t>N/A</t>
  </si>
  <si>
    <t>Annualized Volatility</t>
  </si>
  <si>
    <t>Annual Return</t>
  </si>
  <si>
    <t>Risk-Free Rate</t>
  </si>
  <si>
    <t>Sharpe Ratio</t>
  </si>
  <si>
    <t xml:space="preserve">VBA </t>
  </si>
  <si>
    <t>VBA results</t>
  </si>
  <si>
    <t>S</t>
  </si>
  <si>
    <t>K</t>
  </si>
  <si>
    <t>T</t>
  </si>
  <si>
    <t>r</t>
  </si>
  <si>
    <t>d1</t>
  </si>
  <si>
    <t>d2</t>
  </si>
  <si>
    <t>Call</t>
  </si>
  <si>
    <t>Put</t>
  </si>
  <si>
    <t>Black-scholes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</si>
</sst>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[$$-409]* #,##0_ ;_-[$$-409]* \-#,##0\ ;_-[$$-409]* &quot;-&quot;_ ;_-@_ "/>
    <numFmt numFmtId="165" formatCode="_([$€-2]\ * #,##0_);_([$€-2]\ * \(#,##0\);_([$€-2]\ * &quot;-&quot;??_);_(@_)"/>
    <numFmt numFmtId="166" formatCode="0.0%"/>
    <numFmt numFmtId="167" formatCode="_-[$$-409]* #,##0.00_ ;_-[$$-409]* \-#,##0.00\ ;_-[$$-409]* &quot;-&quot;??_ ;_-@_ "/>
    <numFmt numFmtId="174" formatCode="0.0"/>
  </numFmts>
  <fonts count="2" x14ac:knownFonts="1">
    <font>
      <sz val="12"/>
      <color theme="1"/>
      <name val="Aptos Narrow"/>
      <family val="2"/>
      <scheme val="minor"/>
    </font>
    <font>
      <sz val="10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166" fontId="0" fillId="0" borderId="0" xfId="0" applyNumberFormat="1"/>
    <xf numFmtId="10" fontId="0" fillId="0" borderId="0" xfId="0" applyNumberFormat="1"/>
    <xf numFmtId="167" fontId="0" fillId="0" borderId="0" xfId="0" applyNumberFormat="1"/>
    <xf numFmtId="165" fontId="0" fillId="0" borderId="0" xfId="0" applyNumberFormat="1" applyAlignment="1">
      <alignment horizontal="center"/>
    </xf>
    <xf numFmtId="10" fontId="0" fillId="0" borderId="0" xfId="0" applyNumberFormat="1" applyFill="1"/>
    <xf numFmtId="174" fontId="0" fillId="0" borderId="0" xfId="0" applyNumberFormat="1"/>
    <xf numFmtId="10" fontId="0" fillId="2" borderId="0" xfId="0" applyNumberForma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17/06/relationships/rdSupportingPropertyBagStructure" Target="richData/rdsupportingpropertybag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ichStyles" Target="richData/richStyles.xml"/><Relationship Id="rId5" Type="http://schemas.openxmlformats.org/officeDocument/2006/relationships/styles" Target="styles.xml"/><Relationship Id="rId15" Type="http://schemas.microsoft.com/office/2017/10/relationships/person" Target="persons/person.xml"/><Relationship Id="rId10" Type="http://schemas.microsoft.com/office/2017/06/relationships/rdArray" Target="richData/rdarray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'Present Values'!$B$7</c:f>
          <c:strCache>
            <c:ptCount val="1"/>
            <c:pt idx="0">
              <c:v> BTC/USD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FR"/>
        </a:p>
      </c:txPr>
    </c:title>
    <c:autoTitleDeleted val="0"/>
    <c:plotArea>
      <c:layout/>
      <c:stockChart>
        <c:ser>
          <c:idx val="0"/>
          <c:order val="0"/>
          <c:tx>
            <c:strRef>
              <c:f>'Present Values'!$B$9</c:f>
              <c:strCache>
                <c:ptCount val="1"/>
                <c:pt idx="0">
                  <c:v> Open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'Present Values'!$A$8:$A$368</c:f>
              <c:strCache>
                <c:ptCount val="361"/>
                <c:pt idx="1">
                  <c:v>Date</c:v>
                </c:pt>
                <c:pt idx="2">
                  <c:v>28/12/2025</c:v>
                </c:pt>
                <c:pt idx="3">
                  <c:v>27/12/2025</c:v>
                </c:pt>
                <c:pt idx="4">
                  <c:v>26/12/2025</c:v>
                </c:pt>
                <c:pt idx="5">
                  <c:v>25/12/2025</c:v>
                </c:pt>
                <c:pt idx="6">
                  <c:v>24/12/2025</c:v>
                </c:pt>
                <c:pt idx="7">
                  <c:v>23/12/2025</c:v>
                </c:pt>
                <c:pt idx="8">
                  <c:v>22/12/2025</c:v>
                </c:pt>
                <c:pt idx="9">
                  <c:v>21/12/2025</c:v>
                </c:pt>
                <c:pt idx="10">
                  <c:v>20/12/2025</c:v>
                </c:pt>
                <c:pt idx="11">
                  <c:v>19/12/2025</c:v>
                </c:pt>
                <c:pt idx="12">
                  <c:v>18/12/2025</c:v>
                </c:pt>
                <c:pt idx="13">
                  <c:v>17/12/2025</c:v>
                </c:pt>
                <c:pt idx="14">
                  <c:v>16/12/2025</c:v>
                </c:pt>
                <c:pt idx="15">
                  <c:v>15/12/2025</c:v>
                </c:pt>
                <c:pt idx="16">
                  <c:v>14/12/2025</c:v>
                </c:pt>
                <c:pt idx="17">
                  <c:v>13/12/2025</c:v>
                </c:pt>
                <c:pt idx="18">
                  <c:v>12/12/2025</c:v>
                </c:pt>
                <c:pt idx="19">
                  <c:v>11/12/2025</c:v>
                </c:pt>
                <c:pt idx="20">
                  <c:v>10/12/2025</c:v>
                </c:pt>
                <c:pt idx="21">
                  <c:v>09/12/2025</c:v>
                </c:pt>
                <c:pt idx="22">
                  <c:v>08/12/2025</c:v>
                </c:pt>
                <c:pt idx="23">
                  <c:v>07/12/2025</c:v>
                </c:pt>
                <c:pt idx="24">
                  <c:v>06/12/2025</c:v>
                </c:pt>
                <c:pt idx="25">
                  <c:v>05/12/2025</c:v>
                </c:pt>
                <c:pt idx="26">
                  <c:v>04/12/2025</c:v>
                </c:pt>
                <c:pt idx="27">
                  <c:v>03/12/2025</c:v>
                </c:pt>
                <c:pt idx="28">
                  <c:v>02/12/2025</c:v>
                </c:pt>
                <c:pt idx="29">
                  <c:v>01/12/2025</c:v>
                </c:pt>
                <c:pt idx="30">
                  <c:v>30/11/2025</c:v>
                </c:pt>
                <c:pt idx="31">
                  <c:v>29/11/2025</c:v>
                </c:pt>
                <c:pt idx="32">
                  <c:v>28/11/2025</c:v>
                </c:pt>
                <c:pt idx="33">
                  <c:v>27/11/2025</c:v>
                </c:pt>
                <c:pt idx="34">
                  <c:v>26/11/2025</c:v>
                </c:pt>
                <c:pt idx="35">
                  <c:v>25/11/2025</c:v>
                </c:pt>
                <c:pt idx="36">
                  <c:v>24/11/2025</c:v>
                </c:pt>
                <c:pt idx="37">
                  <c:v>23/11/2025</c:v>
                </c:pt>
                <c:pt idx="38">
                  <c:v>22/11/2025</c:v>
                </c:pt>
                <c:pt idx="39">
                  <c:v>21/11/2025</c:v>
                </c:pt>
                <c:pt idx="40">
                  <c:v>20/11/2025</c:v>
                </c:pt>
                <c:pt idx="41">
                  <c:v>19/11/2025</c:v>
                </c:pt>
                <c:pt idx="42">
                  <c:v>18/11/2025</c:v>
                </c:pt>
                <c:pt idx="43">
                  <c:v>17/11/2025</c:v>
                </c:pt>
                <c:pt idx="44">
                  <c:v>16/11/2025</c:v>
                </c:pt>
                <c:pt idx="45">
                  <c:v>15/11/2025</c:v>
                </c:pt>
                <c:pt idx="46">
                  <c:v>14/11/2025</c:v>
                </c:pt>
                <c:pt idx="47">
                  <c:v>13/11/2025</c:v>
                </c:pt>
                <c:pt idx="48">
                  <c:v>12/11/2025</c:v>
                </c:pt>
                <c:pt idx="49">
                  <c:v>11/11/2025</c:v>
                </c:pt>
                <c:pt idx="50">
                  <c:v>10/11/2025</c:v>
                </c:pt>
                <c:pt idx="51">
                  <c:v>09/11/2025</c:v>
                </c:pt>
                <c:pt idx="52">
                  <c:v>08/11/2025</c:v>
                </c:pt>
                <c:pt idx="53">
                  <c:v>07/11/2025</c:v>
                </c:pt>
                <c:pt idx="54">
                  <c:v>06/11/2025</c:v>
                </c:pt>
                <c:pt idx="55">
                  <c:v>05/11/2025</c:v>
                </c:pt>
                <c:pt idx="56">
                  <c:v>04/11/2025</c:v>
                </c:pt>
                <c:pt idx="57">
                  <c:v>03/11/2025</c:v>
                </c:pt>
                <c:pt idx="58">
                  <c:v>02/11/2025</c:v>
                </c:pt>
                <c:pt idx="59">
                  <c:v>31/10/2025</c:v>
                </c:pt>
                <c:pt idx="60">
                  <c:v>30/10/2025</c:v>
                </c:pt>
                <c:pt idx="61">
                  <c:v>29/10/2025</c:v>
                </c:pt>
                <c:pt idx="62">
                  <c:v>28/10/2025</c:v>
                </c:pt>
                <c:pt idx="63">
                  <c:v>27/10/2025</c:v>
                </c:pt>
                <c:pt idx="64">
                  <c:v>26/10/2025</c:v>
                </c:pt>
                <c:pt idx="65">
                  <c:v>25/10/2025</c:v>
                </c:pt>
                <c:pt idx="66">
                  <c:v>24/10/2025</c:v>
                </c:pt>
                <c:pt idx="67">
                  <c:v>23/10/2025</c:v>
                </c:pt>
                <c:pt idx="68">
                  <c:v>22/10/2025</c:v>
                </c:pt>
                <c:pt idx="69">
                  <c:v>21/10/2025</c:v>
                </c:pt>
                <c:pt idx="70">
                  <c:v>20/10/2025</c:v>
                </c:pt>
                <c:pt idx="71">
                  <c:v>18/10/2025</c:v>
                </c:pt>
                <c:pt idx="72">
                  <c:v>17/10/2025</c:v>
                </c:pt>
                <c:pt idx="73">
                  <c:v>16/10/2025</c:v>
                </c:pt>
                <c:pt idx="74">
                  <c:v>15/10/2025</c:v>
                </c:pt>
                <c:pt idx="75">
                  <c:v>14/10/2025</c:v>
                </c:pt>
                <c:pt idx="76">
                  <c:v>13/10/2025</c:v>
                </c:pt>
                <c:pt idx="77">
                  <c:v>12/10/2025</c:v>
                </c:pt>
                <c:pt idx="78">
                  <c:v>11/10/2025</c:v>
                </c:pt>
                <c:pt idx="79">
                  <c:v>10/10/2025</c:v>
                </c:pt>
                <c:pt idx="80">
                  <c:v>09/10/2025</c:v>
                </c:pt>
                <c:pt idx="81">
                  <c:v>08/10/2025</c:v>
                </c:pt>
                <c:pt idx="82">
                  <c:v>07/10/2025</c:v>
                </c:pt>
                <c:pt idx="83">
                  <c:v>06/10/2025</c:v>
                </c:pt>
                <c:pt idx="84">
                  <c:v>05/10/2025</c:v>
                </c:pt>
                <c:pt idx="85">
                  <c:v>04/10/2025</c:v>
                </c:pt>
                <c:pt idx="86">
                  <c:v>03/10/2025</c:v>
                </c:pt>
                <c:pt idx="87">
                  <c:v>02/10/2025</c:v>
                </c:pt>
                <c:pt idx="88">
                  <c:v>01/10/2025</c:v>
                </c:pt>
                <c:pt idx="89">
                  <c:v>30/09/2025</c:v>
                </c:pt>
                <c:pt idx="90">
                  <c:v>29/09/2025</c:v>
                </c:pt>
                <c:pt idx="91">
                  <c:v>28/09/2025</c:v>
                </c:pt>
                <c:pt idx="92">
                  <c:v>27/09/2025</c:v>
                </c:pt>
                <c:pt idx="93">
                  <c:v>26/09/2025</c:v>
                </c:pt>
                <c:pt idx="94">
                  <c:v>25/09/2025</c:v>
                </c:pt>
                <c:pt idx="95">
                  <c:v>24/09/2025</c:v>
                </c:pt>
                <c:pt idx="96">
                  <c:v>23/09/2025</c:v>
                </c:pt>
                <c:pt idx="97">
                  <c:v>22/09/2025</c:v>
                </c:pt>
                <c:pt idx="98">
                  <c:v>21/09/2025</c:v>
                </c:pt>
                <c:pt idx="99">
                  <c:v>20/09/2025</c:v>
                </c:pt>
                <c:pt idx="100">
                  <c:v>19/09/2025</c:v>
                </c:pt>
                <c:pt idx="101">
                  <c:v>18/09/2025</c:v>
                </c:pt>
                <c:pt idx="102">
                  <c:v>17/09/2025</c:v>
                </c:pt>
                <c:pt idx="103">
                  <c:v>16/09/2025</c:v>
                </c:pt>
                <c:pt idx="104">
                  <c:v>15/09/2025</c:v>
                </c:pt>
                <c:pt idx="105">
                  <c:v>14/09/2025</c:v>
                </c:pt>
                <c:pt idx="106">
                  <c:v>13/09/2025</c:v>
                </c:pt>
                <c:pt idx="107">
                  <c:v>12/09/2025</c:v>
                </c:pt>
                <c:pt idx="108">
                  <c:v>11/09/2025</c:v>
                </c:pt>
                <c:pt idx="109">
                  <c:v>10/09/2025</c:v>
                </c:pt>
                <c:pt idx="110">
                  <c:v>09/09/2025</c:v>
                </c:pt>
                <c:pt idx="111">
                  <c:v>08/09/2025</c:v>
                </c:pt>
                <c:pt idx="112">
                  <c:v>07/09/2025</c:v>
                </c:pt>
                <c:pt idx="113">
                  <c:v>06/09/2025</c:v>
                </c:pt>
                <c:pt idx="114">
                  <c:v>05/09/2025</c:v>
                </c:pt>
                <c:pt idx="115">
                  <c:v>04/09/2025</c:v>
                </c:pt>
                <c:pt idx="116">
                  <c:v>03/09/2025</c:v>
                </c:pt>
                <c:pt idx="117">
                  <c:v>02/09/2025</c:v>
                </c:pt>
                <c:pt idx="118">
                  <c:v>01/09/2025</c:v>
                </c:pt>
                <c:pt idx="119">
                  <c:v>31/08/2025</c:v>
                </c:pt>
                <c:pt idx="120">
                  <c:v>30/08/2025</c:v>
                </c:pt>
                <c:pt idx="121">
                  <c:v>29/08/2025</c:v>
                </c:pt>
                <c:pt idx="122">
                  <c:v>28/08/2025</c:v>
                </c:pt>
                <c:pt idx="123">
                  <c:v>27/08/2025</c:v>
                </c:pt>
                <c:pt idx="124">
                  <c:v>26/08/2025</c:v>
                </c:pt>
                <c:pt idx="125">
                  <c:v>25/08/2025</c:v>
                </c:pt>
                <c:pt idx="126">
                  <c:v>24/08/2025</c:v>
                </c:pt>
                <c:pt idx="127">
                  <c:v>23/08/2025</c:v>
                </c:pt>
                <c:pt idx="128">
                  <c:v>22/08/2025</c:v>
                </c:pt>
                <c:pt idx="129">
                  <c:v>21/08/2025</c:v>
                </c:pt>
                <c:pt idx="130">
                  <c:v>20/08/2025</c:v>
                </c:pt>
                <c:pt idx="131">
                  <c:v>19/08/2025</c:v>
                </c:pt>
                <c:pt idx="132">
                  <c:v>18/08/2025</c:v>
                </c:pt>
                <c:pt idx="133">
                  <c:v>17/08/2025</c:v>
                </c:pt>
                <c:pt idx="134">
                  <c:v>16/08/2025</c:v>
                </c:pt>
                <c:pt idx="135">
                  <c:v>15/08/2025</c:v>
                </c:pt>
                <c:pt idx="136">
                  <c:v>14/08/2025</c:v>
                </c:pt>
                <c:pt idx="137">
                  <c:v>13/08/2025</c:v>
                </c:pt>
                <c:pt idx="138">
                  <c:v>12/08/2025</c:v>
                </c:pt>
                <c:pt idx="139">
                  <c:v>11/08/2025</c:v>
                </c:pt>
                <c:pt idx="140">
                  <c:v>10/08/2025</c:v>
                </c:pt>
                <c:pt idx="141">
                  <c:v>09/08/2025</c:v>
                </c:pt>
                <c:pt idx="142">
                  <c:v>08/08/2025</c:v>
                </c:pt>
                <c:pt idx="143">
                  <c:v>07/08/2025</c:v>
                </c:pt>
                <c:pt idx="144">
                  <c:v>06/08/2025</c:v>
                </c:pt>
                <c:pt idx="145">
                  <c:v>05/08/2025</c:v>
                </c:pt>
                <c:pt idx="146">
                  <c:v>04/08/2025</c:v>
                </c:pt>
                <c:pt idx="147">
                  <c:v>03/08/2025</c:v>
                </c:pt>
                <c:pt idx="148">
                  <c:v>02/08/2025</c:v>
                </c:pt>
                <c:pt idx="149">
                  <c:v>01/08/2025</c:v>
                </c:pt>
                <c:pt idx="150">
                  <c:v>31/07/2025</c:v>
                </c:pt>
                <c:pt idx="151">
                  <c:v>30/07/2025</c:v>
                </c:pt>
                <c:pt idx="152">
                  <c:v>29/07/2025</c:v>
                </c:pt>
                <c:pt idx="153">
                  <c:v>28/07/2025</c:v>
                </c:pt>
                <c:pt idx="154">
                  <c:v>27/07/2025</c:v>
                </c:pt>
                <c:pt idx="155">
                  <c:v>26/07/2025</c:v>
                </c:pt>
                <c:pt idx="156">
                  <c:v>25/07/2025</c:v>
                </c:pt>
                <c:pt idx="157">
                  <c:v>24/07/2025</c:v>
                </c:pt>
                <c:pt idx="158">
                  <c:v>23/07/2025</c:v>
                </c:pt>
                <c:pt idx="159">
                  <c:v>22/07/2025</c:v>
                </c:pt>
                <c:pt idx="160">
                  <c:v>21/07/2025</c:v>
                </c:pt>
                <c:pt idx="161">
                  <c:v>20/07/2025</c:v>
                </c:pt>
                <c:pt idx="162">
                  <c:v>19/07/2025</c:v>
                </c:pt>
                <c:pt idx="163">
                  <c:v>18/07/2025</c:v>
                </c:pt>
                <c:pt idx="164">
                  <c:v>17/07/2025</c:v>
                </c:pt>
                <c:pt idx="165">
                  <c:v>16/07/2025</c:v>
                </c:pt>
                <c:pt idx="166">
                  <c:v>15/07/2025</c:v>
                </c:pt>
                <c:pt idx="167">
                  <c:v>14/07/2025</c:v>
                </c:pt>
                <c:pt idx="168">
                  <c:v>13/07/2025</c:v>
                </c:pt>
                <c:pt idx="169">
                  <c:v>12/07/2025</c:v>
                </c:pt>
                <c:pt idx="170">
                  <c:v>11/07/2025</c:v>
                </c:pt>
                <c:pt idx="171">
                  <c:v>10/07/2025</c:v>
                </c:pt>
                <c:pt idx="172">
                  <c:v>09/07/2025</c:v>
                </c:pt>
                <c:pt idx="173">
                  <c:v>08/07/2025</c:v>
                </c:pt>
                <c:pt idx="174">
                  <c:v>07/07/2025</c:v>
                </c:pt>
                <c:pt idx="175">
                  <c:v>06/07/2025</c:v>
                </c:pt>
                <c:pt idx="176">
                  <c:v>05/07/2025</c:v>
                </c:pt>
                <c:pt idx="177">
                  <c:v>04/07/2025</c:v>
                </c:pt>
                <c:pt idx="178">
                  <c:v>03/07/2025</c:v>
                </c:pt>
                <c:pt idx="179">
                  <c:v>02/07/2025</c:v>
                </c:pt>
                <c:pt idx="180">
                  <c:v>01/07/2025</c:v>
                </c:pt>
                <c:pt idx="181">
                  <c:v>30/06/2025</c:v>
                </c:pt>
                <c:pt idx="182">
                  <c:v>29/06/2025</c:v>
                </c:pt>
                <c:pt idx="183">
                  <c:v>28/06/2025</c:v>
                </c:pt>
                <c:pt idx="184">
                  <c:v>27/06/2025</c:v>
                </c:pt>
                <c:pt idx="185">
                  <c:v>26/06/2025</c:v>
                </c:pt>
                <c:pt idx="186">
                  <c:v>25/06/2025</c:v>
                </c:pt>
                <c:pt idx="187">
                  <c:v>24/06/2025</c:v>
                </c:pt>
                <c:pt idx="188">
                  <c:v>23/06/2025</c:v>
                </c:pt>
                <c:pt idx="189">
                  <c:v>22/06/2025</c:v>
                </c:pt>
                <c:pt idx="190">
                  <c:v>21/06/2025</c:v>
                </c:pt>
                <c:pt idx="191">
                  <c:v>20/06/2025</c:v>
                </c:pt>
                <c:pt idx="192">
                  <c:v>19/06/2025</c:v>
                </c:pt>
                <c:pt idx="193">
                  <c:v>18/06/2025</c:v>
                </c:pt>
                <c:pt idx="194">
                  <c:v>17/06/2025</c:v>
                </c:pt>
                <c:pt idx="195">
                  <c:v>16/06/2025</c:v>
                </c:pt>
                <c:pt idx="196">
                  <c:v>15/06/2025</c:v>
                </c:pt>
                <c:pt idx="197">
                  <c:v>14/06/2025</c:v>
                </c:pt>
                <c:pt idx="198">
                  <c:v>13/06/2025</c:v>
                </c:pt>
                <c:pt idx="199">
                  <c:v>12/06/2025</c:v>
                </c:pt>
                <c:pt idx="200">
                  <c:v>11/06/2025</c:v>
                </c:pt>
                <c:pt idx="201">
                  <c:v>10/06/2025</c:v>
                </c:pt>
                <c:pt idx="202">
                  <c:v>09/06/2025</c:v>
                </c:pt>
                <c:pt idx="203">
                  <c:v>08/06/2025</c:v>
                </c:pt>
                <c:pt idx="204">
                  <c:v>07/06/2025</c:v>
                </c:pt>
                <c:pt idx="205">
                  <c:v>06/06/2025</c:v>
                </c:pt>
                <c:pt idx="206">
                  <c:v>05/06/2025</c:v>
                </c:pt>
                <c:pt idx="207">
                  <c:v>04/06/2025</c:v>
                </c:pt>
                <c:pt idx="208">
                  <c:v>03/06/2025</c:v>
                </c:pt>
                <c:pt idx="209">
                  <c:v>02/06/2025</c:v>
                </c:pt>
                <c:pt idx="210">
                  <c:v>01/06/2025</c:v>
                </c:pt>
                <c:pt idx="211">
                  <c:v>31/05/2025</c:v>
                </c:pt>
                <c:pt idx="212">
                  <c:v>30/05/2025</c:v>
                </c:pt>
                <c:pt idx="213">
                  <c:v>29/05/2025</c:v>
                </c:pt>
                <c:pt idx="214">
                  <c:v>28/05/2025</c:v>
                </c:pt>
                <c:pt idx="215">
                  <c:v>27/05/2025</c:v>
                </c:pt>
                <c:pt idx="216">
                  <c:v>26/05/2025</c:v>
                </c:pt>
                <c:pt idx="217">
                  <c:v>25/05/2025</c:v>
                </c:pt>
                <c:pt idx="218">
                  <c:v>24/05/2025</c:v>
                </c:pt>
                <c:pt idx="219">
                  <c:v>23/05/2025</c:v>
                </c:pt>
                <c:pt idx="220">
                  <c:v>22/05/2025</c:v>
                </c:pt>
                <c:pt idx="221">
                  <c:v>21/05/2025</c:v>
                </c:pt>
                <c:pt idx="222">
                  <c:v>20/05/2025</c:v>
                </c:pt>
                <c:pt idx="223">
                  <c:v>19/05/2025</c:v>
                </c:pt>
                <c:pt idx="224">
                  <c:v>18/05/2025</c:v>
                </c:pt>
                <c:pt idx="225">
                  <c:v>17/05/2025</c:v>
                </c:pt>
                <c:pt idx="226">
                  <c:v>16/05/2025</c:v>
                </c:pt>
                <c:pt idx="227">
                  <c:v>15/05/2025</c:v>
                </c:pt>
                <c:pt idx="228">
                  <c:v>14/05/2025</c:v>
                </c:pt>
                <c:pt idx="229">
                  <c:v>13/05/2025</c:v>
                </c:pt>
                <c:pt idx="230">
                  <c:v>12/05/2025</c:v>
                </c:pt>
                <c:pt idx="231">
                  <c:v>11/05/2025</c:v>
                </c:pt>
                <c:pt idx="232">
                  <c:v>10/05/2025</c:v>
                </c:pt>
                <c:pt idx="233">
                  <c:v>09/05/2025</c:v>
                </c:pt>
                <c:pt idx="234">
                  <c:v>08/05/2025</c:v>
                </c:pt>
                <c:pt idx="235">
                  <c:v>07/05/2025</c:v>
                </c:pt>
                <c:pt idx="236">
                  <c:v>06/05/2025</c:v>
                </c:pt>
                <c:pt idx="237">
                  <c:v>05/05/2025</c:v>
                </c:pt>
                <c:pt idx="238">
                  <c:v>04/05/2025</c:v>
                </c:pt>
                <c:pt idx="239">
                  <c:v>03/05/2025</c:v>
                </c:pt>
                <c:pt idx="240">
                  <c:v>02/05/2025</c:v>
                </c:pt>
                <c:pt idx="241">
                  <c:v>01/05/2025</c:v>
                </c:pt>
                <c:pt idx="242">
                  <c:v>30/04/2025</c:v>
                </c:pt>
                <c:pt idx="243">
                  <c:v>29/04/2025</c:v>
                </c:pt>
                <c:pt idx="244">
                  <c:v>28/04/2025</c:v>
                </c:pt>
                <c:pt idx="245">
                  <c:v>27/04/2025</c:v>
                </c:pt>
                <c:pt idx="246">
                  <c:v>26/04/2025</c:v>
                </c:pt>
                <c:pt idx="247">
                  <c:v>25/04/2025</c:v>
                </c:pt>
                <c:pt idx="248">
                  <c:v>24/04/2025</c:v>
                </c:pt>
                <c:pt idx="249">
                  <c:v>23/04/2025</c:v>
                </c:pt>
                <c:pt idx="250">
                  <c:v>22/04/2025</c:v>
                </c:pt>
                <c:pt idx="251">
                  <c:v>21/04/2025</c:v>
                </c:pt>
                <c:pt idx="252">
                  <c:v>20/04/2025</c:v>
                </c:pt>
                <c:pt idx="253">
                  <c:v>19/04/2025</c:v>
                </c:pt>
                <c:pt idx="254">
                  <c:v>18/04/2025</c:v>
                </c:pt>
                <c:pt idx="255">
                  <c:v>17/04/2025</c:v>
                </c:pt>
                <c:pt idx="256">
                  <c:v>16/04/2025</c:v>
                </c:pt>
                <c:pt idx="257">
                  <c:v>15/04/2025</c:v>
                </c:pt>
                <c:pt idx="258">
                  <c:v>14/04/2025</c:v>
                </c:pt>
                <c:pt idx="259">
                  <c:v>13/04/2025</c:v>
                </c:pt>
                <c:pt idx="260">
                  <c:v>12/04/2025</c:v>
                </c:pt>
                <c:pt idx="261">
                  <c:v>11/04/2025</c:v>
                </c:pt>
                <c:pt idx="262">
                  <c:v>10/04/2025</c:v>
                </c:pt>
                <c:pt idx="263">
                  <c:v>09/04/2025</c:v>
                </c:pt>
                <c:pt idx="264">
                  <c:v>08/04/2025</c:v>
                </c:pt>
                <c:pt idx="265">
                  <c:v>07/04/2025</c:v>
                </c:pt>
                <c:pt idx="266">
                  <c:v>06/04/2025</c:v>
                </c:pt>
                <c:pt idx="267">
                  <c:v>05/04/2025</c:v>
                </c:pt>
                <c:pt idx="268">
                  <c:v>04/04/2025</c:v>
                </c:pt>
                <c:pt idx="269">
                  <c:v>03/04/2025</c:v>
                </c:pt>
                <c:pt idx="270">
                  <c:v>02/04/2025</c:v>
                </c:pt>
                <c:pt idx="271">
                  <c:v>01/04/2025</c:v>
                </c:pt>
                <c:pt idx="272">
                  <c:v>31/03/2025</c:v>
                </c:pt>
                <c:pt idx="273">
                  <c:v>30/03/2025</c:v>
                </c:pt>
                <c:pt idx="274">
                  <c:v>29/03/2025</c:v>
                </c:pt>
                <c:pt idx="275">
                  <c:v>28/03/2025</c:v>
                </c:pt>
                <c:pt idx="276">
                  <c:v>27/03/2025</c:v>
                </c:pt>
                <c:pt idx="277">
                  <c:v>26/03/2025</c:v>
                </c:pt>
                <c:pt idx="278">
                  <c:v>25/03/2025</c:v>
                </c:pt>
                <c:pt idx="279">
                  <c:v>24/03/2025</c:v>
                </c:pt>
                <c:pt idx="280">
                  <c:v>23/03/2025</c:v>
                </c:pt>
                <c:pt idx="281">
                  <c:v>22/03/2025</c:v>
                </c:pt>
                <c:pt idx="282">
                  <c:v>21/03/2025</c:v>
                </c:pt>
                <c:pt idx="283">
                  <c:v>20/03/2025</c:v>
                </c:pt>
                <c:pt idx="284">
                  <c:v>19/03/2025</c:v>
                </c:pt>
                <c:pt idx="285">
                  <c:v>18/03/2025</c:v>
                </c:pt>
                <c:pt idx="286">
                  <c:v>17/03/2025</c:v>
                </c:pt>
                <c:pt idx="287">
                  <c:v>16/03/2025</c:v>
                </c:pt>
                <c:pt idx="288">
                  <c:v>15/03/2025</c:v>
                </c:pt>
                <c:pt idx="289">
                  <c:v>14/03/2025</c:v>
                </c:pt>
                <c:pt idx="290">
                  <c:v>13/03/2025</c:v>
                </c:pt>
                <c:pt idx="291">
                  <c:v>12/03/2025</c:v>
                </c:pt>
                <c:pt idx="292">
                  <c:v>11/03/2025</c:v>
                </c:pt>
                <c:pt idx="293">
                  <c:v>10/03/2025</c:v>
                </c:pt>
                <c:pt idx="294">
                  <c:v>09/03/2025</c:v>
                </c:pt>
                <c:pt idx="295">
                  <c:v>08/03/2025</c:v>
                </c:pt>
                <c:pt idx="296">
                  <c:v>07/03/2025</c:v>
                </c:pt>
                <c:pt idx="297">
                  <c:v>06/03/2025</c:v>
                </c:pt>
                <c:pt idx="298">
                  <c:v>05/03/2025</c:v>
                </c:pt>
                <c:pt idx="299">
                  <c:v>04/03/2025</c:v>
                </c:pt>
                <c:pt idx="300">
                  <c:v>03/03/2025</c:v>
                </c:pt>
                <c:pt idx="301">
                  <c:v>02/03/2025</c:v>
                </c:pt>
                <c:pt idx="302">
                  <c:v>01/03/2025</c:v>
                </c:pt>
                <c:pt idx="303">
                  <c:v>28/02/2025</c:v>
                </c:pt>
                <c:pt idx="304">
                  <c:v>27/02/2025</c:v>
                </c:pt>
                <c:pt idx="305">
                  <c:v>26/02/2025</c:v>
                </c:pt>
                <c:pt idx="306">
                  <c:v>25/02/2025</c:v>
                </c:pt>
                <c:pt idx="307">
                  <c:v>24/02/2025</c:v>
                </c:pt>
                <c:pt idx="308">
                  <c:v>22/02/2025</c:v>
                </c:pt>
                <c:pt idx="309">
                  <c:v>21/02/2025</c:v>
                </c:pt>
                <c:pt idx="310">
                  <c:v>20/02/2025</c:v>
                </c:pt>
                <c:pt idx="311">
                  <c:v>19/02/2025</c:v>
                </c:pt>
                <c:pt idx="312">
                  <c:v>18/02/2025</c:v>
                </c:pt>
                <c:pt idx="313">
                  <c:v>17/02/2025</c:v>
                </c:pt>
                <c:pt idx="314">
                  <c:v>16/02/2025</c:v>
                </c:pt>
                <c:pt idx="315">
                  <c:v>14/02/2025</c:v>
                </c:pt>
                <c:pt idx="316">
                  <c:v>13/02/2025</c:v>
                </c:pt>
                <c:pt idx="317">
                  <c:v>12/02/2025</c:v>
                </c:pt>
                <c:pt idx="318">
                  <c:v>11/02/2025</c:v>
                </c:pt>
                <c:pt idx="319">
                  <c:v>10/02/2025</c:v>
                </c:pt>
                <c:pt idx="320">
                  <c:v>09/02/2025</c:v>
                </c:pt>
                <c:pt idx="321">
                  <c:v>08/02/2025</c:v>
                </c:pt>
                <c:pt idx="322">
                  <c:v>07/02/2025</c:v>
                </c:pt>
                <c:pt idx="323">
                  <c:v>06/02/2025</c:v>
                </c:pt>
                <c:pt idx="324">
                  <c:v>05/02/2025</c:v>
                </c:pt>
                <c:pt idx="325">
                  <c:v>04/02/2025</c:v>
                </c:pt>
                <c:pt idx="326">
                  <c:v>03/02/2025</c:v>
                </c:pt>
                <c:pt idx="327">
                  <c:v>02/02/2025</c:v>
                </c:pt>
                <c:pt idx="328">
                  <c:v>31/01/2025</c:v>
                </c:pt>
                <c:pt idx="329">
                  <c:v>30/01/2025</c:v>
                </c:pt>
                <c:pt idx="330">
                  <c:v>29/01/2025</c:v>
                </c:pt>
                <c:pt idx="331">
                  <c:v>28/01/2025</c:v>
                </c:pt>
                <c:pt idx="332">
                  <c:v>27/01/2025</c:v>
                </c:pt>
                <c:pt idx="333">
                  <c:v>26/01/2025</c:v>
                </c:pt>
                <c:pt idx="334">
                  <c:v>25/01/2025</c:v>
                </c:pt>
                <c:pt idx="335">
                  <c:v>24/01/2025</c:v>
                </c:pt>
                <c:pt idx="336">
                  <c:v>23/01/2025</c:v>
                </c:pt>
                <c:pt idx="337">
                  <c:v>22/01/2025</c:v>
                </c:pt>
                <c:pt idx="338">
                  <c:v>21/01/2025</c:v>
                </c:pt>
                <c:pt idx="339">
                  <c:v>20/01/2025</c:v>
                </c:pt>
                <c:pt idx="340">
                  <c:v>19/01/2025</c:v>
                </c:pt>
                <c:pt idx="341">
                  <c:v>18/01/2025</c:v>
                </c:pt>
                <c:pt idx="342">
                  <c:v>17/01/2025</c:v>
                </c:pt>
                <c:pt idx="343">
                  <c:v>16/01/2025</c:v>
                </c:pt>
                <c:pt idx="344">
                  <c:v>15/01/2025</c:v>
                </c:pt>
                <c:pt idx="345">
                  <c:v>14/01/2025</c:v>
                </c:pt>
                <c:pt idx="346">
                  <c:v>13/01/2025</c:v>
                </c:pt>
                <c:pt idx="347">
                  <c:v>12/01/2025</c:v>
                </c:pt>
                <c:pt idx="348">
                  <c:v>11/01/2025</c:v>
                </c:pt>
                <c:pt idx="349">
                  <c:v>10/01/2025</c:v>
                </c:pt>
                <c:pt idx="350">
                  <c:v>09/01/2025</c:v>
                </c:pt>
                <c:pt idx="351">
                  <c:v>08/01/2025</c:v>
                </c:pt>
                <c:pt idx="352">
                  <c:v>07/01/2025</c:v>
                </c:pt>
                <c:pt idx="353">
                  <c:v>06/01/2025</c:v>
                </c:pt>
                <c:pt idx="354">
                  <c:v>05/01/2025</c:v>
                </c:pt>
                <c:pt idx="355">
                  <c:v>04/01/2025</c:v>
                </c:pt>
                <c:pt idx="356">
                  <c:v>03/01/2025</c:v>
                </c:pt>
                <c:pt idx="357">
                  <c:v>02/01/2025</c:v>
                </c:pt>
                <c:pt idx="358">
                  <c:v>01/01/2025</c:v>
                </c:pt>
                <c:pt idx="359">
                  <c:v>31/12/2024</c:v>
                </c:pt>
                <c:pt idx="360">
                  <c:v>30/12/2024</c:v>
                </c:pt>
              </c:strCache>
            </c:strRef>
          </c:cat>
          <c:val>
            <c:numRef>
              <c:f>'Present Values'!$B$8:$B$368</c:f>
              <c:numCache>
                <c:formatCode>_([$€-2]\ * #\ ##0_);_([$€-2]\ * \(#\ ##0\);_([$€-2]\ * "-"??_);_(@_)</c:formatCode>
                <c:ptCount val="361"/>
                <c:pt idx="1">
                  <c:v>0</c:v>
                </c:pt>
                <c:pt idx="2" formatCode="_([$$-409]* #\ ##0.00_);_([$$-409]* \(#\ ##0.00\);_([$$-409]* &quot;-&quot;??_);_(@_)">
                  <c:v>87627.7</c:v>
                </c:pt>
                <c:pt idx="3" formatCode="_([$$-409]* #\ ##0.00_);_([$$-409]* \(#\ ##0.00\);_([$$-409]* &quot;-&quot;??_);_(@_)">
                  <c:v>87433.51</c:v>
                </c:pt>
                <c:pt idx="4" formatCode="_([$$-409]* #\ ##0.00_);_([$$-409]* \(#\ ##0.00\);_([$$-409]* &quot;-&quot;??_);_(@_)">
                  <c:v>87857.1</c:v>
                </c:pt>
                <c:pt idx="5" formatCode="_([$$-409]* #\ ##0.00_);_([$$-409]* \(#\ ##0.00\);_([$$-409]* &quot;-&quot;??_);_(@_)">
                  <c:v>87630.95</c:v>
                </c:pt>
                <c:pt idx="6" formatCode="_([$$-409]* #\ ##0.00_);_([$$-409]* \(#\ ##0.00\);_([$$-409]* &quot;-&quot;??_);_(@_)">
                  <c:v>87674.22</c:v>
                </c:pt>
                <c:pt idx="7" formatCode="_([$$-409]* #\ ##0.00_);_([$$-409]* \(#\ ##0.00\);_([$$-409]* &quot;-&quot;??_);_(@_)">
                  <c:v>88235.63</c:v>
                </c:pt>
                <c:pt idx="8" formatCode="_([$$-409]* #\ ##0.00_);_([$$-409]* \(#\ ##0.00\);_([$$-409]* &quot;-&quot;??_);_(@_)">
                  <c:v>88152.639999999999</c:v>
                </c:pt>
                <c:pt idx="9" formatCode="_([$$-409]* #\ ##0.00_);_([$$-409]* \(#\ ##0.00\);_([$$-409]* &quot;-&quot;??_);_(@_)">
                  <c:v>88207.58</c:v>
                </c:pt>
                <c:pt idx="10" formatCode="_([$$-409]* #\ ##0.00_);_([$$-409]* \(#\ ##0.00\);_([$$-409]* &quot;-&quot;??_);_(@_)">
                  <c:v>87813.7</c:v>
                </c:pt>
                <c:pt idx="11" formatCode="_([$$-409]* #\ ##0.00_);_([$$-409]* \(#\ ##0.00\);_([$$-409]* &quot;-&quot;??_);_(@_)">
                  <c:v>85614.42</c:v>
                </c:pt>
                <c:pt idx="12" formatCode="_([$$-409]* #\ ##0.00_);_([$$-409]* \(#\ ##0.00\);_([$$-409]* &quot;-&quot;??_);_(@_)">
                  <c:v>85984.9</c:v>
                </c:pt>
                <c:pt idx="13" formatCode="_([$$-409]* #\ ##0.00_);_([$$-409]* \(#\ ##0.00\);_([$$-409]* &quot;-&quot;??_);_(@_)">
                  <c:v>87787.11</c:v>
                </c:pt>
                <c:pt idx="14" formatCode="_([$$-409]* #\ ##0.00_);_([$$-409]* \(#\ ##0.00\);_([$$-409]* &quot;-&quot;??_);_(@_)">
                  <c:v>86233.52</c:v>
                </c:pt>
                <c:pt idx="15" formatCode="_([$$-409]* #\ ##0.00_);_([$$-409]* \(#\ ##0.00\);_([$$-409]* &quot;-&quot;??_);_(@_)">
                  <c:v>88465.84</c:v>
                </c:pt>
                <c:pt idx="16" formatCode="_([$$-409]* #\ ##0.00_);_([$$-409]* \(#\ ##0.00\);_([$$-409]* &quot;-&quot;??_);_(@_)">
                  <c:v>90189.3</c:v>
                </c:pt>
                <c:pt idx="17" formatCode="_([$$-409]* #\ ##0.00_);_([$$-409]* \(#\ ##0.00\);_([$$-409]* &quot;-&quot;??_);_(@_)">
                  <c:v>90213.52</c:v>
                </c:pt>
                <c:pt idx="18" formatCode="_([$$-409]* #\ ##0.00_);_([$$-409]* \(#\ ##0.00\);_([$$-409]* &quot;-&quot;??_);_(@_)">
                  <c:v>92908.68</c:v>
                </c:pt>
                <c:pt idx="19" formatCode="_([$$-409]* #\ ##0.00_);_([$$-409]* \(#\ ##0.00\);_([$$-409]* &quot;-&quot;??_);_(@_)">
                  <c:v>92389.38</c:v>
                </c:pt>
                <c:pt idx="20" formatCode="_([$$-409]* #\ ##0.00_);_([$$-409]* \(#\ ##0.00\);_([$$-409]* &quot;-&quot;??_);_(@_)">
                  <c:v>92761.279999999999</c:v>
                </c:pt>
                <c:pt idx="21" formatCode="_([$$-409]* #\ ##0.00_);_([$$-409]* \(#\ ##0.00\);_([$$-409]* &quot;-&quot;??_);_(@_)">
                  <c:v>91372.4</c:v>
                </c:pt>
                <c:pt idx="22" formatCode="_([$$-409]* #\ ##0.00_);_([$$-409]* \(#\ ##0.00\);_([$$-409]* &quot;-&quot;??_);_(@_)">
                  <c:v>90161.279999999999</c:v>
                </c:pt>
                <c:pt idx="23" formatCode="_([$$-409]* #\ ##0.00_);_([$$-409]* \(#\ ##0.00\);_([$$-409]* &quot;-&quot;??_);_(@_)">
                  <c:v>89458.72</c:v>
                </c:pt>
                <c:pt idx="24" formatCode="_([$$-409]* #\ ##0.00_);_([$$-409]* \(#\ ##0.00\);_([$$-409]* &quot;-&quot;??_);_(@_)">
                  <c:v>89208.63</c:v>
                </c:pt>
                <c:pt idx="25" formatCode="_([$$-409]* #\ ##0.00_);_([$$-409]* \(#\ ##0.00\);_([$$-409]* &quot;-&quot;??_);_(@_)">
                  <c:v>92182.07</c:v>
                </c:pt>
                <c:pt idx="26" formatCode="_([$$-409]* #\ ##0.00_);_([$$-409]* \(#\ ##0.00\);_([$$-409]* &quot;-&quot;??_);_(@_)">
                  <c:v>93715.62</c:v>
                </c:pt>
                <c:pt idx="27" formatCode="_([$$-409]* #\ ##0.00_);_([$$-409]* \(#\ ##0.00\);_([$$-409]* &quot;-&quot;??_);_(@_)">
                  <c:v>91621.48</c:v>
                </c:pt>
                <c:pt idx="28" formatCode="_([$$-409]* #\ ##0.00_);_([$$-409]* \(#\ ##0.00\);_([$$-409]* &quot;-&quot;??_);_(@_)">
                  <c:v>86471.33</c:v>
                </c:pt>
                <c:pt idx="29" formatCode="_([$$-409]* #\ ##0.00_);_([$$-409]* \(#\ ##0.00\);_([$$-409]* &quot;-&quot;??_);_(@_)">
                  <c:v>91188.5</c:v>
                </c:pt>
                <c:pt idx="30" formatCode="_([$$-409]* #\ ##0.00_);_([$$-409]* \(#\ ##0.00\);_([$$-409]* &quot;-&quot;??_);_(@_)">
                  <c:v>91041.9</c:v>
                </c:pt>
                <c:pt idx="31" formatCode="_([$$-409]* #\ ##0.00_);_([$$-409]* \(#\ ##0.00\);_([$$-409]* &quot;-&quot;??_);_(@_)">
                  <c:v>90942.31</c:v>
                </c:pt>
                <c:pt idx="32" formatCode="_([$$-409]* #\ ##0.00_);_([$$-409]* \(#\ ##0.00\);_([$$-409]* &quot;-&quot;??_);_(@_)">
                  <c:v>91413.75</c:v>
                </c:pt>
                <c:pt idx="33" formatCode="_([$$-409]* #\ ##0.00_);_([$$-409]* \(#\ ##0.00\);_([$$-409]* &quot;-&quot;??_);_(@_)">
                  <c:v>90199.6</c:v>
                </c:pt>
                <c:pt idx="34" formatCode="_([$$-409]* #\ ##0.00_);_([$$-409]* \(#\ ##0.00\);_([$$-409]* &quot;-&quot;??_);_(@_)">
                  <c:v>86983.39</c:v>
                </c:pt>
                <c:pt idx="35" formatCode="_([$$-409]* #\ ##0.00_);_([$$-409]* \(#\ ##0.00\);_([$$-409]* &quot;-&quot;??_);_(@_)">
                  <c:v>88802.48</c:v>
                </c:pt>
                <c:pt idx="36" formatCode="_([$$-409]* #\ ##0.00_);_([$$-409]* \(#\ ##0.00\);_([$$-409]* &quot;-&quot;??_);_(@_)">
                  <c:v>87996.92</c:v>
                </c:pt>
                <c:pt idx="37" formatCode="_([$$-409]* #\ ##0.00_);_([$$-409]* \(#\ ##0.00\);_([$$-409]* &quot;-&quot;??_);_(@_)">
                  <c:v>84413.04</c:v>
                </c:pt>
                <c:pt idx="38" formatCode="_([$$-409]* #\ ##0.00_);_([$$-409]* \(#\ ##0.00\);_([$$-409]* &quot;-&quot;??_);_(@_)">
                  <c:v>85151.85</c:v>
                </c:pt>
                <c:pt idx="39" formatCode="_([$$-409]* #\ ##0.00_);_([$$-409]* \(#\ ##0.00\);_([$$-409]* &quot;-&quot;??_);_(@_)">
                  <c:v>87241.03</c:v>
                </c:pt>
                <c:pt idx="40" formatCode="_([$$-409]* #\ ##0.00_);_([$$-409]* \(#\ ##0.00\);_([$$-409]* &quot;-&quot;??_);_(@_)">
                  <c:v>90559.96</c:v>
                </c:pt>
                <c:pt idx="41" formatCode="_([$$-409]* #\ ##0.00_);_([$$-409]* \(#\ ##0.00\);_([$$-409]* &quot;-&quot;??_);_(@_)">
                  <c:v>92456.18</c:v>
                </c:pt>
                <c:pt idx="42" formatCode="_([$$-409]* #\ ##0.00_);_([$$-409]* \(#\ ##0.00\);_([$$-409]* &quot;-&quot;??_);_(@_)">
                  <c:v>91817.22</c:v>
                </c:pt>
                <c:pt idx="43" formatCode="_([$$-409]* #\ ##0.00_);_([$$-409]* \(#\ ##0.00\);_([$$-409]* &quot;-&quot;??_);_(@_)">
                  <c:v>93428.91</c:v>
                </c:pt>
                <c:pt idx="44" formatCode="_([$$-409]* #\ ##0.00_);_([$$-409]* \(#\ ##0.00\);_([$$-409]* &quot;-&quot;??_);_(@_)">
                  <c:v>95224.39</c:v>
                </c:pt>
                <c:pt idx="45" formatCode="_([$$-409]* #\ ##0.00_);_([$$-409]* \(#\ ##0.00\);_([$$-409]* &quot;-&quot;??_);_(@_)">
                  <c:v>95013.78</c:v>
                </c:pt>
                <c:pt idx="46" formatCode="_([$$-409]* #\ ##0.00_);_([$$-409]* \(#\ ##0.00\);_([$$-409]* &quot;-&quot;??_);_(@_)">
                  <c:v>98789.78</c:v>
                </c:pt>
                <c:pt idx="47" formatCode="_([$$-409]* #\ ##0.00_);_([$$-409]* \(#\ ##0.00\);_([$$-409]* &quot;-&quot;??_);_(@_)">
                  <c:v>101889.06</c:v>
                </c:pt>
                <c:pt idx="48" formatCode="_([$$-409]* #\ ##0.00_);_([$$-409]* \(#\ ##0.00\);_([$$-409]* &quot;-&quot;??_);_(@_)">
                  <c:v>102623.02</c:v>
                </c:pt>
                <c:pt idx="49" formatCode="_([$$-409]* #\ ##0.00_);_([$$-409]* \(#\ ##0.00\);_([$$-409]* &quot;-&quot;??_);_(@_)">
                  <c:v>105624.7</c:v>
                </c:pt>
                <c:pt idx="50" formatCode="_([$$-409]* #\ ##0.00_);_([$$-409]* \(#\ ##0.00\);_([$$-409]* &quot;-&quot;??_);_(@_)">
                  <c:v>104502.24</c:v>
                </c:pt>
                <c:pt idx="51" formatCode="_([$$-409]* #\ ##0.00_);_([$$-409]* \(#\ ##0.00\);_([$$-409]* &quot;-&quot;??_);_(@_)">
                  <c:v>102318.67</c:v>
                </c:pt>
                <c:pt idx="52" formatCode="_([$$-409]* #\ ##0.00_);_([$$-409]* \(#\ ##0.00\);_([$$-409]* &quot;-&quot;??_);_(@_)">
                  <c:v>103848.43</c:v>
                </c:pt>
                <c:pt idx="53" formatCode="_([$$-409]* #\ ##0.00_);_([$$-409]* \(#\ ##0.00\);_([$$-409]* &quot;-&quot;??_);_(@_)">
                  <c:v>101062.61</c:v>
                </c:pt>
                <c:pt idx="54" formatCode="_([$$-409]* #\ ##0.00_);_([$$-409]* \(#\ ##0.00\);_([$$-409]* &quot;-&quot;??_);_(@_)">
                  <c:v>103671.07</c:v>
                </c:pt>
                <c:pt idx="55" formatCode="_([$$-409]* #\ ##0.00_);_([$$-409]* \(#\ ##0.00\);_([$$-409]* &quot;-&quot;??_);_(@_)">
                  <c:v>100256.89</c:v>
                </c:pt>
                <c:pt idx="56" formatCode="_([$$-409]* #\ ##0.00_);_([$$-409]* \(#\ ##0.00\);_([$$-409]* &quot;-&quot;??_);_(@_)">
                  <c:v>106868.11</c:v>
                </c:pt>
                <c:pt idx="57" formatCode="_([$$-409]* #\ ##0.00_);_([$$-409]* \(#\ ##0.00\);_([$$-409]* &quot;-&quot;??_);_(@_)">
                  <c:v>110031.34</c:v>
                </c:pt>
                <c:pt idx="58" formatCode="_([$$-409]* #\ ##0.00_);_([$$-409]* \(#\ ##0.00\);_([$$-409]* &quot;-&quot;??_);_(@_)">
                  <c:v>110429.37</c:v>
                </c:pt>
                <c:pt idx="59" formatCode="_([$$-409]* #\ ##0.00_);_([$$-409]* \(#\ ##0.00\);_([$$-409]* &quot;-&quot;??_);_(@_)">
                  <c:v>107502.59</c:v>
                </c:pt>
                <c:pt idx="60" formatCode="_([$$-409]* #\ ##0.00_);_([$$-409]* \(#\ ##0.00\);_([$$-409]* &quot;-&quot;??_);_(@_)">
                  <c:v>111473.94</c:v>
                </c:pt>
                <c:pt idx="61" formatCode="_([$$-409]* #\ ##0.00_);_([$$-409]* \(#\ ##0.00\);_([$$-409]* &quot;-&quot;??_);_(@_)">
                  <c:v>112754.37</c:v>
                </c:pt>
                <c:pt idx="62" formatCode="_([$$-409]* #\ ##0.00_);_([$$-409]* \(#\ ##0.00\);_([$$-409]* &quot;-&quot;??_);_(@_)">
                  <c:v>114486.84</c:v>
                </c:pt>
                <c:pt idx="63" formatCode="_([$$-409]* #\ ##0.00_);_([$$-409]* \(#\ ##0.00\);_([$$-409]* &quot;-&quot;??_);_(@_)">
                  <c:v>113362.94</c:v>
                </c:pt>
                <c:pt idx="64" formatCode="_([$$-409]* #\ ##0.00_);_([$$-409]* \(#\ ##0.00\);_([$$-409]* &quot;-&quot;??_);_(@_)">
                  <c:v>111461.81</c:v>
                </c:pt>
                <c:pt idx="65" formatCode="_([$$-409]* #\ ##0.00_);_([$$-409]* \(#\ ##0.00\);_([$$-409]* &quot;-&quot;??_);_(@_)">
                  <c:v>110905.19</c:v>
                </c:pt>
                <c:pt idx="66" formatCode="_([$$-409]* #\ ##0.00_);_([$$-409]* \(#\ ##0.00\);_([$$-409]* &quot;-&quot;??_);_(@_)">
                  <c:v>109492.22</c:v>
                </c:pt>
                <c:pt idx="67" formatCode="_([$$-409]* #\ ##0.00_);_([$$-409]* \(#\ ##0.00\);_([$$-409]* &quot;-&quot;??_);_(@_)">
                  <c:v>107696.76</c:v>
                </c:pt>
                <c:pt idx="68" formatCode="_([$$-409]* #\ ##0.00_);_([$$-409]* \(#\ ##0.00\);_([$$-409]* &quot;-&quot;??_);_(@_)">
                  <c:v>110833.62</c:v>
                </c:pt>
                <c:pt idx="69" formatCode="_([$$-409]* #\ ##0.00_);_([$$-409]* \(#\ ##0.00\);_([$$-409]* &quot;-&quot;??_);_(@_)">
                  <c:v>111135.18</c:v>
                </c:pt>
                <c:pt idx="70" formatCode="_([$$-409]* #\ ##0.00_);_([$$-409]* \(#\ ##0.00\);_([$$-409]* &quot;-&quot;??_);_(@_)">
                  <c:v>108958.54</c:v>
                </c:pt>
                <c:pt idx="71" formatCode="_([$$-409]* #\ ##0.00_);_([$$-409]* \(#\ ##0.00\);_([$$-409]* &quot;-&quot;??_);_(@_)">
                  <c:v>107087.77</c:v>
                </c:pt>
                <c:pt idx="72" formatCode="_([$$-409]* #\ ##0.00_);_([$$-409]* \(#\ ##0.00\);_([$$-409]* &quot;-&quot;??_);_(@_)">
                  <c:v>107892.3</c:v>
                </c:pt>
                <c:pt idx="73" formatCode="_([$$-409]* #\ ##0.00_);_([$$-409]* \(#\ ##0.00\);_([$$-409]* &quot;-&quot;??_);_(@_)">
                  <c:v>111199.52</c:v>
                </c:pt>
                <c:pt idx="74" formatCode="_([$$-409]* #\ ##0.00_);_([$$-409]* \(#\ ##0.00\);_([$$-409]* &quot;-&quot;??_);_(@_)">
                  <c:v>113064.55</c:v>
                </c:pt>
                <c:pt idx="75" formatCode="_([$$-409]* #\ ##0.00_);_([$$-409]* \(#\ ##0.00\);_([$$-409]* &quot;-&quot;??_);_(@_)">
                  <c:v>115889.71</c:v>
                </c:pt>
                <c:pt idx="76" formatCode="_([$$-409]* #\ ##0.00_);_([$$-409]* \(#\ ##0.00\);_([$$-409]* &quot;-&quot;??_);_(@_)">
                  <c:v>115079.71</c:v>
                </c:pt>
                <c:pt idx="77" formatCode="_([$$-409]* #\ ##0.00_);_([$$-409]* \(#\ ##0.00\);_([$$-409]* &quot;-&quot;??_);_(@_)">
                  <c:v>110409.93</c:v>
                </c:pt>
                <c:pt idx="78" formatCode="_([$$-409]* #\ ##0.00_);_([$$-409]* \(#\ ##0.00\);_([$$-409]* &quot;-&quot;??_);_(@_)">
                  <c:v>114588.56</c:v>
                </c:pt>
                <c:pt idx="79" formatCode="_([$$-409]* #\ ##0.00_);_([$$-409]* \(#\ ##0.00\);_([$$-409]* &quot;-&quot;??_);_(@_)">
                  <c:v>121157.44</c:v>
                </c:pt>
                <c:pt idx="80" formatCode="_([$$-409]* #\ ##0.00_);_([$$-409]* \(#\ ##0.00\);_([$$-409]* &quot;-&quot;??_);_(@_)">
                  <c:v>122888.54</c:v>
                </c:pt>
                <c:pt idx="81" formatCode="_([$$-409]* #\ ##0.00_);_([$$-409]* \(#\ ##0.00\);_([$$-409]* &quot;-&quot;??_);_(@_)">
                  <c:v>122022.75</c:v>
                </c:pt>
                <c:pt idx="82" formatCode="_([$$-409]* #\ ##0.00_);_([$$-409]* \(#\ ##0.00\);_([$$-409]* &quot;-&quot;??_);_(@_)">
                  <c:v>125268.28</c:v>
                </c:pt>
                <c:pt idx="83" formatCode="_([$$-409]* #\ ##0.00_);_([$$-409]* \(#\ ##0.00\);_([$$-409]* &quot;-&quot;??_);_(@_)">
                  <c:v>122765.16</c:v>
                </c:pt>
                <c:pt idx="84" formatCode="_([$$-409]* #\ ##0.00_);_([$$-409]* \(#\ ##0.00\);_([$$-409]* &quot;-&quot;??_);_(@_)">
                  <c:v>121966.24</c:v>
                </c:pt>
                <c:pt idx="85" formatCode="_([$$-409]* #\ ##0.00_);_([$$-409]* \(#\ ##0.00\);_([$$-409]* &quot;-&quot;??_);_(@_)">
                  <c:v>122490.31</c:v>
                </c:pt>
                <c:pt idx="86" formatCode="_([$$-409]* #\ ##0.00_);_([$$-409]* \(#\ ##0.00\);_([$$-409]* &quot;-&quot;??_);_(@_)">
                  <c:v>120691.59</c:v>
                </c:pt>
                <c:pt idx="87" formatCode="_([$$-409]* #\ ##0.00_);_([$$-409]* \(#\ ##0.00\);_([$$-409]* &quot;-&quot;??_);_(@_)">
                  <c:v>117584.63</c:v>
                </c:pt>
                <c:pt idx="88" formatCode="_([$$-409]* #\ ##0.00_);_([$$-409]* \(#\ ##0.00\);_([$$-409]* &quot;-&quot;??_);_(@_)">
                  <c:v>114640.99</c:v>
                </c:pt>
                <c:pt idx="89" formatCode="_([$$-409]* #\ ##0.00_);_([$$-409]* \(#\ ##0.00\);_([$$-409]* &quot;-&quot;??_);_(@_)">
                  <c:v>114356.04</c:v>
                </c:pt>
                <c:pt idx="90" formatCode="_([$$-409]* #\ ##0.00_);_([$$-409]* \(#\ ##0.00\);_([$$-409]* &quot;-&quot;??_);_(@_)">
                  <c:v>110858.94</c:v>
                </c:pt>
                <c:pt idx="91" formatCode="_([$$-409]* #\ ##0.00_);_([$$-409]* \(#\ ##0.00\);_([$$-409]* &quot;-&quot;??_);_(@_)">
                  <c:v>109493.75999999999</c:v>
                </c:pt>
                <c:pt idx="92" formatCode="_([$$-409]* #\ ##0.00_);_([$$-409]* \(#\ ##0.00\);_([$$-409]* &quot;-&quot;??_);_(@_)">
                  <c:v>109366.71</c:v>
                </c:pt>
                <c:pt idx="93" formatCode="_([$$-409]* #\ ##0.00_);_([$$-409]* \(#\ ##0.00\);_([$$-409]* &quot;-&quot;??_);_(@_)">
                  <c:v>109268.72</c:v>
                </c:pt>
                <c:pt idx="94" formatCode="_([$$-409]* #\ ##0.00_);_([$$-409]* \(#\ ##0.00\);_([$$-409]* &quot;-&quot;??_);_(@_)">
                  <c:v>113600.06</c:v>
                </c:pt>
                <c:pt idx="95" formatCode="_([$$-409]* #\ ##0.00_);_([$$-409]* \(#\ ##0.00\);_([$$-409]* &quot;-&quot;??_);_(@_)">
                  <c:v>112033.29</c:v>
                </c:pt>
                <c:pt idx="96" formatCode="_([$$-409]* #\ ##0.00_);_([$$-409]* \(#\ ##0.00\);_([$$-409]* &quot;-&quot;??_);_(@_)">
                  <c:v>112866.71</c:v>
                </c:pt>
                <c:pt idx="97" formatCode="_([$$-409]* #\ ##0.00_);_([$$-409]* \(#\ ##0.00\);_([$$-409]* &quot;-&quot;??_);_(@_)">
                  <c:v>115450.97</c:v>
                </c:pt>
                <c:pt idx="98" formatCode="_([$$-409]* #\ ##0.00_);_([$$-409]* \(#\ ##0.00\);_([$$-409]* &quot;-&quot;??_);_(@_)">
                  <c:v>115805.38</c:v>
                </c:pt>
                <c:pt idx="99" formatCode="_([$$-409]* #\ ##0.00_);_([$$-409]* \(#\ ##0.00\);_([$$-409]* &quot;-&quot;??_);_(@_)">
                  <c:v>115457.46</c:v>
                </c:pt>
                <c:pt idx="100" formatCode="_([$$-409]* #\ ##0.00_);_([$$-409]* \(#\ ##0.00\);_([$$-409]* &quot;-&quot;??_);_(@_)">
                  <c:v>117584.05</c:v>
                </c:pt>
                <c:pt idx="101" formatCode="_([$$-409]* #\ ##0.00_);_([$$-409]* \(#\ ##0.00\);_([$$-409]* &quot;-&quot;??_);_(@_)">
                  <c:v>115644.23</c:v>
                </c:pt>
                <c:pt idx="102" formatCode="_([$$-409]* #\ ##0.00_);_([$$-409]* \(#\ ##0.00\);_([$$-409]* &quot;-&quot;??_);_(@_)">
                  <c:v>116896.2</c:v>
                </c:pt>
                <c:pt idx="103" formatCode="_([$$-409]* #\ ##0.00_);_([$$-409]* \(#\ ##0.00\);_([$$-409]* &quot;-&quot;??_);_(@_)">
                  <c:v>115434.92</c:v>
                </c:pt>
                <c:pt idx="104" formatCode="_([$$-409]* #\ ##0.00_);_([$$-409]* \(#\ ##0.00\);_([$$-409]* &quot;-&quot;??_);_(@_)">
                  <c:v>115854.73</c:v>
                </c:pt>
                <c:pt idx="105" formatCode="_([$$-409]* #\ ##0.00_);_([$$-409]* \(#\ ##0.00\);_([$$-409]* &quot;-&quot;??_);_(@_)">
                  <c:v>115944.26</c:v>
                </c:pt>
                <c:pt idx="106" formatCode="_([$$-409]* #\ ##0.00_);_([$$-409]* \(#\ ##0.00\);_([$$-409]* &quot;-&quot;??_);_(@_)">
                  <c:v>116223.34</c:v>
                </c:pt>
                <c:pt idx="107" formatCode="_([$$-409]* #\ ##0.00_);_([$$-409]* \(#\ ##0.00\);_([$$-409]* &quot;-&quot;??_);_(@_)">
                  <c:v>114414.24</c:v>
                </c:pt>
                <c:pt idx="108" formatCode="_([$$-409]* #\ ##0.00_);_([$$-409]* \(#\ ##0.00\);_([$$-409]* &quot;-&quot;??_);_(@_)">
                  <c:v>113609.13</c:v>
                </c:pt>
                <c:pt idx="109" formatCode="_([$$-409]* #\ ##0.00_);_([$$-409]* \(#\ ##0.00\);_([$$-409]* &quot;-&quot;??_);_(@_)">
                  <c:v>111512.9</c:v>
                </c:pt>
                <c:pt idx="110" formatCode="_([$$-409]* #\ ##0.00_);_([$$-409]* \(#\ ##0.00\);_([$$-409]* &quot;-&quot;??_);_(@_)">
                  <c:v>111986.61</c:v>
                </c:pt>
                <c:pt idx="111" formatCode="_([$$-409]* #\ ##0.00_);_([$$-409]* \(#\ ##0.00\);_([$$-409]* &quot;-&quot;??_);_(@_)">
                  <c:v>111350.74</c:v>
                </c:pt>
                <c:pt idx="112" formatCode="_([$$-409]* #\ ##0.00_);_([$$-409]* \(#\ ##0.00\);_([$$-409]* &quot;-&quot;??_);_(@_)">
                  <c:v>110188.85</c:v>
                </c:pt>
                <c:pt idx="113" formatCode="_([$$-409]* #\ ##0.00_);_([$$-409]* \(#\ ##0.00\);_([$$-409]* &quot;-&quot;??_);_(@_)">
                  <c:v>111679.7</c:v>
                </c:pt>
                <c:pt idx="114" formatCode="_([$$-409]* #\ ##0.00_);_([$$-409]* \(#\ ##0.00\);_([$$-409]* &quot;-&quot;??_);_(@_)">
                  <c:v>110429.41</c:v>
                </c:pt>
                <c:pt idx="115" formatCode="_([$$-409]* #\ ##0.00_);_([$$-409]* \(#\ ##0.00\);_([$$-409]* &quot;-&quot;??_);_(@_)">
                  <c:v>112271.79</c:v>
                </c:pt>
                <c:pt idx="116" formatCode="_([$$-409]* #\ ##0.00_);_([$$-409]* \(#\ ##0.00\);_([$$-409]* &quot;-&quot;??_);_(@_)">
                  <c:v>111427.21</c:v>
                </c:pt>
                <c:pt idx="117" formatCode="_([$$-409]* #\ ##0.00_);_([$$-409]* \(#\ ##0.00\);_([$$-409]* &quot;-&quot;??_);_(@_)">
                  <c:v>108848.71</c:v>
                </c:pt>
                <c:pt idx="118" formatCode="_([$$-409]* #\ ##0.00_);_([$$-409]* \(#\ ##0.00\);_([$$-409]* &quot;-&quot;??_);_(@_)">
                  <c:v>109163.09</c:v>
                </c:pt>
                <c:pt idx="119" formatCode="_([$$-409]* #\ ##0.00_);_([$$-409]* \(#\ ##0.00\);_([$$-409]* &quot;-&quot;??_);_(@_)">
                  <c:v>108679.72</c:v>
                </c:pt>
                <c:pt idx="120" formatCode="_([$$-409]* #\ ##0.00_);_([$$-409]* \(#\ ##0.00\);_([$$-409]* &quot;-&quot;??_);_(@_)">
                  <c:v>107827.82</c:v>
                </c:pt>
                <c:pt idx="121" formatCode="_([$$-409]* #\ ##0.00_);_([$$-409]* \(#\ ##0.00\);_([$$-409]* &quot;-&quot;??_);_(@_)">
                  <c:v>111962.68</c:v>
                </c:pt>
                <c:pt idx="122" formatCode="_([$$-409]* #\ ##0.00_);_([$$-409]* \(#\ ##0.00\);_([$$-409]* &quot;-&quot;??_);_(@_)">
                  <c:v>112461.98</c:v>
                </c:pt>
                <c:pt idx="123" formatCode="_([$$-409]* #\ ##0.00_);_([$$-409]* \(#\ ##0.00\);_([$$-409]* &quot;-&quot;??_);_(@_)">
                  <c:v>111391.54</c:v>
                </c:pt>
                <c:pt idx="124" formatCode="_([$$-409]* #\ ##0.00_);_([$$-409]* \(#\ ##0.00\);_([$$-409]* &quot;-&quot;??_);_(@_)">
                  <c:v>109577.29</c:v>
                </c:pt>
                <c:pt idx="125" formatCode="_([$$-409]* #\ ##0.00_);_([$$-409]* \(#\ ##0.00\);_([$$-409]* &quot;-&quot;??_);_(@_)">
                  <c:v>112780.85</c:v>
                </c:pt>
                <c:pt idx="126" formatCode="_([$$-409]* #\ ##0.00_);_([$$-409]* \(#\ ##0.00\);_([$$-409]* &quot;-&quot;??_);_(@_)">
                  <c:v>115308.98</c:v>
                </c:pt>
                <c:pt idx="127" formatCode="_([$$-409]* #\ ##0.00_);_([$$-409]* \(#\ ##0.00\);_([$$-409]* &quot;-&quot;??_);_(@_)">
                  <c:v>117047.63</c:v>
                </c:pt>
                <c:pt idx="128" formatCode="_([$$-409]* #\ ##0.00_);_([$$-409]* \(#\ ##0.00\);_([$$-409]* &quot;-&quot;??_);_(@_)">
                  <c:v>112410.89</c:v>
                </c:pt>
                <c:pt idx="129" formatCode="_([$$-409]* #\ ##0.00_);_([$$-409]* \(#\ ##0.00\);_([$$-409]* &quot;-&quot;??_);_(@_)">
                  <c:v>114410.58</c:v>
                </c:pt>
                <c:pt idx="130" formatCode="_([$$-409]* #\ ##0.00_);_([$$-409]* \(#\ ##0.00\);_([$$-409]* &quot;-&quot;??_);_(@_)">
                  <c:v>113575.14</c:v>
                </c:pt>
                <c:pt idx="131" formatCode="_([$$-409]* #\ ##0.00_);_([$$-409]* \(#\ ##0.00\);_([$$-409]* &quot;-&quot;??_);_(@_)">
                  <c:v>116506.43</c:v>
                </c:pt>
                <c:pt idx="132" formatCode="_([$$-409]* #\ ##0.00_);_([$$-409]* \(#\ ##0.00\);_([$$-409]* &quot;-&quot;??_);_(@_)">
                  <c:v>117722.3</c:v>
                </c:pt>
                <c:pt idx="133" formatCode="_([$$-409]* #\ ##0.00_);_([$$-409]* \(#\ ##0.00\);_([$$-409]* &quot;-&quot;??_);_(@_)">
                  <c:v>117745.41</c:v>
                </c:pt>
                <c:pt idx="134" formatCode="_([$$-409]* #\ ##0.00_);_([$$-409]* \(#\ ##0.00\);_([$$-409]* &quot;-&quot;??_);_(@_)">
                  <c:v>117393.35</c:v>
                </c:pt>
                <c:pt idx="135" formatCode="_([$$-409]* #\ ##0.00_);_([$$-409]* \(#\ ##0.00\);_([$$-409]* &quot;-&quot;??_);_(@_)">
                  <c:v>117951.88</c:v>
                </c:pt>
                <c:pt idx="136" formatCode="_([$$-409]* #\ ##0.00_);_([$$-409]* \(#\ ##0.00\);_([$$-409]* &quot;-&quot;??_);_(@_)">
                  <c:v>122957.75</c:v>
                </c:pt>
                <c:pt idx="137" formatCode="_([$$-409]* #\ ##0.00_);_([$$-409]* \(#\ ##0.00\);_([$$-409]* &quot;-&quot;??_);_(@_)">
                  <c:v>120198.46</c:v>
                </c:pt>
                <c:pt idx="138" formatCode="_([$$-409]* #\ ##0.00_);_([$$-409]* \(#\ ##0.00\);_([$$-409]* &quot;-&quot;??_);_(@_)">
                  <c:v>118861.09</c:v>
                </c:pt>
                <c:pt idx="139" formatCode="_([$$-409]* #\ ##0.00_);_([$$-409]* \(#\ ##0.00\);_([$$-409]* &quot;-&quot;??_);_(@_)">
                  <c:v>118356.63</c:v>
                </c:pt>
                <c:pt idx="140" formatCode="_([$$-409]* #\ ##0.00_);_([$$-409]* \(#\ ##0.00\);_([$$-409]* &quot;-&quot;??_);_(@_)">
                  <c:v>116801.72</c:v>
                </c:pt>
                <c:pt idx="141" formatCode="_([$$-409]* #\ ##0.00_);_([$$-409]* \(#\ ##0.00\);_([$$-409]* &quot;-&quot;??_);_(@_)">
                  <c:v>116889.79</c:v>
                </c:pt>
                <c:pt idx="142" formatCode="_([$$-409]* #\ ##0.00_);_([$$-409]* \(#\ ##0.00\);_([$$-409]* &quot;-&quot;??_);_(@_)">
                  <c:v>117260.1</c:v>
                </c:pt>
                <c:pt idx="143" formatCode="_([$$-409]* #\ ##0.00_);_([$$-409]* \(#\ ##0.00\);_([$$-409]* &quot;-&quot;??_);_(@_)">
                  <c:v>115094.95</c:v>
                </c:pt>
                <c:pt idx="144" formatCode="_([$$-409]* #\ ##0.00_);_([$$-409]* \(#\ ##0.00\);_([$$-409]* &quot;-&quot;??_);_(@_)">
                  <c:v>113686.59</c:v>
                </c:pt>
                <c:pt idx="145" formatCode="_([$$-409]* #\ ##0.00_);_([$$-409]* \(#\ ##0.00\);_([$$-409]* &quot;-&quot;??_);_(@_)">
                  <c:v>114862.15</c:v>
                </c:pt>
                <c:pt idx="146" formatCode="_([$$-409]* #\ ##0.00_);_([$$-409]* \(#\ ##0.00\);_([$$-409]* &quot;-&quot;??_);_(@_)">
                  <c:v>114458</c:v>
                </c:pt>
                <c:pt idx="147" formatCode="_([$$-409]* #\ ##0.00_);_([$$-409]* \(#\ ##0.00\);_([$$-409]* &quot;-&quot;??_);_(@_)">
                  <c:v>112796.08</c:v>
                </c:pt>
                <c:pt idx="148" formatCode="_([$$-409]* #\ ##0.00_);_([$$-409]* \(#\ ##0.00\);_([$$-409]* &quot;-&quot;??_);_(@_)">
                  <c:v>113929.35</c:v>
                </c:pt>
                <c:pt idx="149" formatCode="_([$$-409]* #\ ##0.00_);_([$$-409]* \(#\ ##0.00\);_([$$-409]* &quot;-&quot;??_);_(@_)">
                  <c:v>116518.51</c:v>
                </c:pt>
                <c:pt idx="150" formatCode="_([$$-409]* #\ ##0.00_);_([$$-409]* \(#\ ##0.00\);_([$$-409]* &quot;-&quot;??_);_(@_)">
                  <c:v>117166.92</c:v>
                </c:pt>
                <c:pt idx="151" formatCode="_([$$-409]* #\ ##0.00_);_([$$-409]* \(#\ ##0.00\);_([$$-409]* &quot;-&quot;??_);_(@_)">
                  <c:v>117504.36</c:v>
                </c:pt>
                <c:pt idx="152" formatCode="_([$$-409]* #\ ##0.00_);_([$$-409]* \(#\ ##0.00\);_([$$-409]* &quot;-&quot;??_);_(@_)">
                  <c:v>118023.44</c:v>
                </c:pt>
                <c:pt idx="153" formatCode="_([$$-409]* #\ ##0.00_);_([$$-409]* \(#\ ##0.00\);_([$$-409]* &quot;-&quot;??_);_(@_)">
                  <c:v>118834.93</c:v>
                </c:pt>
                <c:pt idx="154" formatCode="_([$$-409]* #\ ##0.00_);_([$$-409]* \(#\ ##0.00\);_([$$-409]* &quot;-&quot;??_);_(@_)">
                  <c:v>118020.3</c:v>
                </c:pt>
                <c:pt idx="155" formatCode="_([$$-409]* #\ ##0.00_);_([$$-409]* \(#\ ##0.00\);_([$$-409]* &quot;-&quot;??_);_(@_)">
                  <c:v>117096.9</c:v>
                </c:pt>
                <c:pt idx="156" formatCode="_([$$-409]* #\ ##0.00_);_([$$-409]* \(#\ ##0.00\);_([$$-409]* &quot;-&quot;??_);_(@_)">
                  <c:v>118803.95</c:v>
                </c:pt>
                <c:pt idx="157" formatCode="_([$$-409]* #\ ##0.00_);_([$$-409]* \(#\ ##0.00\);_([$$-409]* &quot;-&quot;??_);_(@_)">
                  <c:v>117960.36</c:v>
                </c:pt>
                <c:pt idx="158" formatCode="_([$$-409]* #\ ##0.00_);_([$$-409]* \(#\ ##0.00\);_([$$-409]* &quot;-&quot;??_);_(@_)">
                  <c:v>119813.17</c:v>
                </c:pt>
                <c:pt idx="159" formatCode="_([$$-409]* #\ ##0.00_);_([$$-409]* \(#\ ##0.00\);_([$$-409]* &quot;-&quot;??_);_(@_)">
                  <c:v>116990.14</c:v>
                </c:pt>
                <c:pt idx="160" formatCode="_([$$-409]* #\ ##0.00_);_([$$-409]* \(#\ ##0.00\);_([$$-409]* &quot;-&quot;??_);_(@_)">
                  <c:v>118136.76</c:v>
                </c:pt>
                <c:pt idx="161" formatCode="_([$$-409]* #\ ##0.00_);_([$$-409]* \(#\ ##0.00\);_([$$-409]* &quot;-&quot;??_);_(@_)">
                  <c:v>117804.83</c:v>
                </c:pt>
                <c:pt idx="162" formatCode="_([$$-409]* #\ ##0.00_);_([$$-409]* \(#\ ##0.00\);_([$$-409]* &quot;-&quot;??_);_(@_)">
                  <c:v>117469.61</c:v>
                </c:pt>
                <c:pt idx="163" formatCode="_([$$-409]* #\ ##0.00_);_([$$-409]* \(#\ ##0.00\);_([$$-409]* &quot;-&quot;??_);_(@_)">
                  <c:v>119501.13</c:v>
                </c:pt>
                <c:pt idx="164" formatCode="_([$$-409]* #\ ##0.00_);_([$$-409]* \(#\ ##0.00\);_([$$-409]* &quot;-&quot;??_);_(@_)">
                  <c:v>119949.54</c:v>
                </c:pt>
                <c:pt idx="165" formatCode="_([$$-409]* #\ ##0.00_);_([$$-409]* \(#\ ##0.00\);_([$$-409]* &quot;-&quot;??_);_(@_)">
                  <c:v>116423.84</c:v>
                </c:pt>
                <c:pt idx="166" formatCode="_([$$-409]* #\ ##0.00_);_([$$-409]* \(#\ ##0.00\);_([$$-409]* &quot;-&quot;??_);_(@_)">
                  <c:v>120213.93</c:v>
                </c:pt>
                <c:pt idx="167" formatCode="_([$$-409]* #\ ##0.00_);_([$$-409]* \(#\ ##0.00\);_([$$-409]* &quot;-&quot;??_);_(@_)">
                  <c:v>119100.81</c:v>
                </c:pt>
                <c:pt idx="168" formatCode="_([$$-409]* #\ ##0.00_);_([$$-409]* \(#\ ##0.00\);_([$$-409]* &quot;-&quot;??_);_(@_)">
                  <c:v>117084.06</c:v>
                </c:pt>
                <c:pt idx="169" formatCode="_([$$-409]* #\ ##0.00_);_([$$-409]* \(#\ ##0.00\);_([$$-409]* &quot;-&quot;??_);_(@_)">
                  <c:v>117717.38</c:v>
                </c:pt>
                <c:pt idx="170" formatCode="_([$$-409]* #\ ##0.00_);_([$$-409]* \(#\ ##0.00\);_([$$-409]* &quot;-&quot;??_);_(@_)">
                  <c:v>113528.23</c:v>
                </c:pt>
                <c:pt idx="171" formatCode="_([$$-409]* #\ ##0.00_);_([$$-409]* \(#\ ##0.00\);_([$$-409]* &quot;-&quot;??_);_(@_)">
                  <c:v>110762.55</c:v>
                </c:pt>
                <c:pt idx="172" formatCode="_([$$-409]* #\ ##0.00_);_([$$-409]* \(#\ ##0.00\);_([$$-409]* &quot;-&quot;??_);_(@_)">
                  <c:v>108697.34</c:v>
                </c:pt>
                <c:pt idx="173" formatCode="_([$$-409]* #\ ##0.00_);_([$$-409]* \(#\ ##0.00\);_([$$-409]* &quot;-&quot;??_);_(@_)">
                  <c:v>107899.18</c:v>
                </c:pt>
                <c:pt idx="174" formatCode="_([$$-409]* #\ ##0.00_);_([$$-409]* \(#\ ##0.00\);_([$$-409]* &quot;-&quot;??_);_(@_)">
                  <c:v>108707.68</c:v>
                </c:pt>
                <c:pt idx="175" formatCode="_([$$-409]* #\ ##0.00_);_([$$-409]* \(#\ ##0.00\);_([$$-409]* &quot;-&quot;??_);_(@_)">
                  <c:v>108153.81</c:v>
                </c:pt>
                <c:pt idx="176" formatCode="_([$$-409]* #\ ##0.00_);_([$$-409]* \(#\ ##0.00\);_([$$-409]* &quot;-&quot;??_);_(@_)">
                  <c:v>107779.34</c:v>
                </c:pt>
                <c:pt idx="177" formatCode="_([$$-409]* #\ ##0.00_);_([$$-409]* \(#\ ##0.00\);_([$$-409]* &quot;-&quot;??_);_(@_)">
                  <c:v>110002.21</c:v>
                </c:pt>
                <c:pt idx="178" formatCode="_([$$-409]* #\ ##0.00_);_([$$-409]* \(#\ ##0.00\);_([$$-409]* &quot;-&quot;??_);_(@_)">
                  <c:v>109240.01</c:v>
                </c:pt>
                <c:pt idx="179" formatCode="_([$$-409]* #\ ##0.00_);_([$$-409]* \(#\ ##0.00\);_([$$-409]* &quot;-&quot;??_);_(@_)">
                  <c:v>105968.37</c:v>
                </c:pt>
                <c:pt idx="180" formatCode="_([$$-409]* #\ ##0.00_);_([$$-409]* \(#\ ##0.00\);_([$$-409]* &quot;-&quot;??_);_(@_)">
                  <c:v>107622.66</c:v>
                </c:pt>
                <c:pt idx="181" formatCode="_([$$-409]* #\ ##0.00_);_([$$-409]* \(#\ ##0.00\);_([$$-409]* &quot;-&quot;??_);_(@_)">
                  <c:v>107417.21</c:v>
                </c:pt>
                <c:pt idx="182" formatCode="_([$$-409]* #\ ##0.00_);_([$$-409]* \(#\ ##0.00\);_([$$-409]* &quot;-&quot;??_);_(@_)">
                  <c:v>107219.89</c:v>
                </c:pt>
                <c:pt idx="183" formatCode="_([$$-409]* #\ ##0.00_);_([$$-409]* \(#\ ##0.00\);_([$$-409]* &quot;-&quot;??_);_(@_)">
                  <c:v>107139.08</c:v>
                </c:pt>
                <c:pt idx="184" formatCode="_([$$-409]* #\ ##0.00_);_([$$-409]* \(#\ ##0.00\);_([$$-409]* &quot;-&quot;??_);_(@_)">
                  <c:v>107812.92</c:v>
                </c:pt>
                <c:pt idx="185" formatCode="_([$$-409]* #\ ##0.00_);_([$$-409]* \(#\ ##0.00\);_([$$-409]* &quot;-&quot;??_);_(@_)">
                  <c:v>107834.95</c:v>
                </c:pt>
                <c:pt idx="186" formatCode="_([$$-409]* #\ ##0.00_);_([$$-409]* \(#\ ##0.00\);_([$$-409]* &quot;-&quot;??_);_(@_)">
                  <c:v>106140.11</c:v>
                </c:pt>
                <c:pt idx="187" formatCode="_([$$-409]* #\ ##0.00_);_([$$-409]* \(#\ ##0.00\);_([$$-409]* &quot;-&quot;??_);_(@_)">
                  <c:v>103889.16</c:v>
                </c:pt>
                <c:pt idx="188" formatCode="_([$$-409]* #\ ##0.00_);_([$$-409]* \(#\ ##0.00\);_([$$-409]* &quot;-&quot;??_);_(@_)">
                  <c:v>99610.45</c:v>
                </c:pt>
                <c:pt idx="189" formatCode="_([$$-409]* #\ ##0.00_);_([$$-409]* \(#\ ##0.00\);_([$$-409]* &quot;-&quot;??_);_(@_)">
                  <c:v>102078.58</c:v>
                </c:pt>
                <c:pt idx="190" formatCode="_([$$-409]* #\ ##0.00_);_([$$-409]* \(#\ ##0.00\);_([$$-409]* &quot;-&quot;??_);_(@_)">
                  <c:v>103753.08</c:v>
                </c:pt>
                <c:pt idx="191" formatCode="_([$$-409]* #\ ##0.00_);_([$$-409]* \(#\ ##0.00\);_([$$-409]* &quot;-&quot;??_);_(@_)">
                  <c:v>104307.62</c:v>
                </c:pt>
                <c:pt idx="192" formatCode="_([$$-409]* #\ ##0.00_);_([$$-409]* \(#\ ##0.00\);_([$$-409]* &quot;-&quot;??_);_(@_)">
                  <c:v>104854</c:v>
                </c:pt>
                <c:pt idx="193" formatCode="_([$$-409]* #\ ##0.00_);_([$$-409]* \(#\ ##0.00\);_([$$-409]* &quot;-&quot;??_);_(@_)">
                  <c:v>104412.51</c:v>
                </c:pt>
                <c:pt idx="194" formatCode="_([$$-409]* #\ ##0.00_);_([$$-409]* \(#\ ##0.00\);_([$$-409]* &quot;-&quot;??_);_(@_)">
                  <c:v>108832.6</c:v>
                </c:pt>
                <c:pt idx="195" formatCode="_([$$-409]* #\ ##0.00_);_([$$-409]* \(#\ ##0.00\);_([$$-409]* &quot;-&quot;??_);_(@_)">
                  <c:v>104764.16</c:v>
                </c:pt>
                <c:pt idx="196" formatCode="_([$$-409]* #\ ##0.00_);_([$$-409]* \(#\ ##0.00\);_([$$-409]* &quot;-&quot;??_);_(@_)">
                  <c:v>104914.08</c:v>
                </c:pt>
                <c:pt idx="197" formatCode="_([$$-409]* #\ ##0.00_);_([$$-409]* \(#\ ##0.00\);_([$$-409]* &quot;-&quot;??_);_(@_)">
                  <c:v>105479.72</c:v>
                </c:pt>
                <c:pt idx="198" formatCode="_([$$-409]* #\ ##0.00_);_([$$-409]* \(#\ ##0.00\);_([$$-409]* &quot;-&quot;??_);_(@_)">
                  <c:v>105955.83</c:v>
                </c:pt>
                <c:pt idx="199" formatCode="_([$$-409]* #\ ##0.00_);_([$$-409]* \(#\ ##0.00\);_([$$-409]* &quot;-&quot;??_);_(@_)">
                  <c:v>108940.63</c:v>
                </c:pt>
                <c:pt idx="200" formatCode="_([$$-409]* #\ ##0.00_);_([$$-409]* \(#\ ##0.00\);_([$$-409]* &quot;-&quot;??_);_(@_)">
                  <c:v>109962.46</c:v>
                </c:pt>
                <c:pt idx="201" formatCode="_([$$-409]* #\ ##0.00_);_([$$-409]* \(#\ ##0.00\);_([$$-409]* &quot;-&quot;??_);_(@_)">
                  <c:v>108785.56</c:v>
                </c:pt>
                <c:pt idx="202" formatCode="_([$$-409]* #\ ##0.00_);_([$$-409]* \(#\ ##0.00\);_([$$-409]* &quot;-&quot;??_);_(@_)">
                  <c:v>106211.36</c:v>
                </c:pt>
                <c:pt idx="203" formatCode="_([$$-409]* #\ ##0.00_);_([$$-409]* \(#\ ##0.00\);_([$$-409]* &quot;-&quot;??_);_(@_)">
                  <c:v>105909.05</c:v>
                </c:pt>
                <c:pt idx="204" formatCode="_([$$-409]* #\ ##0.00_);_([$$-409]* \(#\ ##0.00\);_([$$-409]* &quot;-&quot;??_);_(@_)">
                  <c:v>104572.3</c:v>
                </c:pt>
                <c:pt idx="205" formatCode="_([$$-409]* #\ ##0.00_);_([$$-409]* \(#\ ##0.00\);_([$$-409]* &quot;-&quot;??_);_(@_)">
                  <c:v>100515.07</c:v>
                </c:pt>
                <c:pt idx="206" formatCode="_([$$-409]* #\ ##0.00_);_([$$-409]* \(#\ ##0.00\);_([$$-409]* &quot;-&quot;??_);_(@_)">
                  <c:v>104625.87</c:v>
                </c:pt>
                <c:pt idx="207" formatCode="_([$$-409]* #\ ##0.00_);_([$$-409]* \(#\ ##0.00\);_([$$-409]* &quot;-&quot;??_);_(@_)">
                  <c:v>105803.36</c:v>
                </c:pt>
                <c:pt idx="208" formatCode="_([$$-409]* #\ ##0.00_);_([$$-409]* \(#\ ##0.00\);_([$$-409]* &quot;-&quot;??_);_(@_)">
                  <c:v>104931.27</c:v>
                </c:pt>
                <c:pt idx="209" formatCode="_([$$-409]* #\ ##0.00_);_([$$-409]* \(#\ ##0.00\);_([$$-409]* &quot;-&quot;??_);_(@_)">
                  <c:v>105009.71</c:v>
                </c:pt>
                <c:pt idx="210" formatCode="_([$$-409]* #\ ##0.00_);_([$$-409]* \(#\ ##0.00\);_([$$-409]* &quot;-&quot;??_);_(@_)">
                  <c:v>104812.84</c:v>
                </c:pt>
                <c:pt idx="211" formatCode="_([$$-409]* #\ ##0.00_);_([$$-409]* \(#\ ##0.00\);_([$$-409]* &quot;-&quot;??_);_(@_)">
                  <c:v>104597.04</c:v>
                </c:pt>
                <c:pt idx="212" formatCode="_([$$-409]* #\ ##0.00_);_([$$-409]* \(#\ ##0.00\);_([$$-409]* &quot;-&quot;??_);_(@_)">
                  <c:v>106183.53</c:v>
                </c:pt>
                <c:pt idx="213" formatCode="_([$$-409]* #\ ##0.00_);_([$$-409]* \(#\ ##0.00\);_([$$-409]* &quot;-&quot;??_);_(@_)">
                  <c:v>107343.54</c:v>
                </c:pt>
                <c:pt idx="214" formatCode="_([$$-409]* #\ ##0.00_);_([$$-409]* \(#\ ##0.00\);_([$$-409]* &quot;-&quot;??_);_(@_)">
                  <c:v>109618.12</c:v>
                </c:pt>
                <c:pt idx="215" formatCode="_([$$-409]* #\ ##0.00_);_([$$-409]* \(#\ ##0.00\);_([$$-409]* &quot;-&quot;??_);_(@_)">
                  <c:v>109610.72</c:v>
                </c:pt>
                <c:pt idx="216" formatCode="_([$$-409]* #\ ##0.00_);_([$$-409]* \(#\ ##0.00\);_([$$-409]* &quot;-&quot;??_);_(@_)">
                  <c:v>107706.34</c:v>
                </c:pt>
                <c:pt idx="217" formatCode="_([$$-409]* #\ ##0.00_);_([$$-409]* \(#\ ##0.00\);_([$$-409]* &quot;-&quot;??_);_(@_)">
                  <c:v>108902.76</c:v>
                </c:pt>
                <c:pt idx="218" formatCode="_([$$-409]* #\ ##0.00_);_([$$-409]* \(#\ ##0.00\);_([$$-409]* &quot;-&quot;??_);_(@_)">
                  <c:v>108240.55</c:v>
                </c:pt>
                <c:pt idx="219" formatCode="_([$$-409]* #\ ##0.00_);_([$$-409]* \(#\ ##0.00\);_([$$-409]* &quot;-&quot;??_);_(@_)">
                  <c:v>111071.46</c:v>
                </c:pt>
                <c:pt idx="220" formatCode="_([$$-409]* #\ ##0.00_);_([$$-409]* \(#\ ##0.00\);_([$$-409]* &quot;-&quot;??_);_(@_)">
                  <c:v>108214.6</c:v>
                </c:pt>
                <c:pt idx="221" formatCode="_([$$-409]* #\ ##0.00_);_([$$-409]* \(#\ ##0.00\);_([$$-409]* &quot;-&quot;??_);_(@_)">
                  <c:v>106941.37</c:v>
                </c:pt>
                <c:pt idx="222" formatCode="_([$$-409]* #\ ##0.00_);_([$$-409]* \(#\ ##0.00\);_([$$-409]* &quot;-&quot;??_);_(@_)">
                  <c:v>105505.42</c:v>
                </c:pt>
                <c:pt idx="223" formatCode="_([$$-409]* #\ ##0.00_);_([$$-409]* \(#\ ##0.00\);_([$$-409]* &quot;-&quot;??_);_(@_)">
                  <c:v>104138.29</c:v>
                </c:pt>
                <c:pt idx="224" formatCode="_([$$-409]* #\ ##0.00_);_([$$-409]* \(#\ ##0.00\);_([$$-409]* &quot;-&quot;??_);_(@_)">
                  <c:v>103427.81</c:v>
                </c:pt>
                <c:pt idx="225" formatCode="_([$$-409]* #\ ##0.00_);_([$$-409]* \(#\ ##0.00\);_([$$-409]* &quot;-&quot;??_);_(@_)">
                  <c:v>103711.98</c:v>
                </c:pt>
                <c:pt idx="226" formatCode="_([$$-409]* #\ ##0.00_);_([$$-409]* \(#\ ##0.00\);_([$$-409]* &quot;-&quot;??_);_(@_)">
                  <c:v>103455.34</c:v>
                </c:pt>
                <c:pt idx="227" formatCode="_([$$-409]* #\ ##0.00_);_([$$-409]* \(#\ ##0.00\);_([$$-409]* &quot;-&quot;??_);_(@_)">
                  <c:v>103575.97</c:v>
                </c:pt>
                <c:pt idx="228" formatCode="_([$$-409]* #\ ##0.00_);_([$$-409]* \(#\ ##0.00\);_([$$-409]* &quot;-&quot;??_);_(@_)">
                  <c:v>104591.95</c:v>
                </c:pt>
                <c:pt idx="229" formatCode="_([$$-409]* #\ ##0.00_);_([$$-409]* \(#\ ##0.00\);_([$$-409]* &quot;-&quot;??_);_(@_)">
                  <c:v>102696.35</c:v>
                </c:pt>
                <c:pt idx="230" formatCode="_([$$-409]* #\ ##0.00_);_([$$-409]* \(#\ ##0.00\);_([$$-409]* &quot;-&quot;??_);_(@_)">
                  <c:v>104295.7</c:v>
                </c:pt>
                <c:pt idx="231" formatCode="_([$$-409]* #\ ##0.00_);_([$$-409]* \(#\ ##0.00\);_([$$-409]* &quot;-&quot;??_);_(@_)">
                  <c:v>103185.56</c:v>
                </c:pt>
                <c:pt idx="232" formatCode="_([$$-409]* #\ ##0.00_);_([$$-409]* \(#\ ##0.00\);_([$$-409]* &quot;-&quot;??_);_(@_)">
                  <c:v>103190.44</c:v>
                </c:pt>
                <c:pt idx="233" formatCode="_([$$-409]* #\ ##0.00_);_([$$-409]* \(#\ ##0.00\);_([$$-409]* &quot;-&quot;??_);_(@_)">
                  <c:v>102614.97</c:v>
                </c:pt>
                <c:pt idx="234" formatCode="_([$$-409]* #\ ##0.00_);_([$$-409]* \(#\ ##0.00\);_([$$-409]* &quot;-&quot;??_);_(@_)">
                  <c:v>96768.89</c:v>
                </c:pt>
                <c:pt idx="235" formatCode="_([$$-409]* #\ ##0.00_);_([$$-409]* \(#\ ##0.00\);_([$$-409]* &quot;-&quot;??_);_(@_)">
                  <c:v>94717.29</c:v>
                </c:pt>
                <c:pt idx="236" formatCode="_([$$-409]* #\ ##0.00_);_([$$-409]* \(#\ ##0.00\);_([$$-409]* &quot;-&quot;??_);_(@_)">
                  <c:v>94276.2</c:v>
                </c:pt>
                <c:pt idx="237" formatCode="_([$$-409]* #\ ##0.00_);_([$$-409]* \(#\ ##0.00\);_([$$-409]* &quot;-&quot;??_);_(@_)">
                  <c:v>95756.56</c:v>
                </c:pt>
                <c:pt idx="238" formatCode="_([$$-409]* #\ ##0.00_);_([$$-409]* \(#\ ##0.00\);_([$$-409]* &quot;-&quot;??_);_(@_)">
                  <c:v>96369.68</c:v>
                </c:pt>
                <c:pt idx="239" formatCode="_([$$-409]* #\ ##0.00_);_([$$-409]* \(#\ ##0.00\);_([$$-409]* &quot;-&quot;??_);_(@_)">
                  <c:v>97069.79</c:v>
                </c:pt>
                <c:pt idx="240" formatCode="_([$$-409]* #\ ##0.00_);_([$$-409]* \(#\ ##0.00\);_([$$-409]* &quot;-&quot;??_);_(@_)">
                  <c:v>96458.22</c:v>
                </c:pt>
                <c:pt idx="241" formatCode="_([$$-409]* #\ ##0.00_);_([$$-409]* \(#\ ##0.00\);_([$$-409]* &quot;-&quot;??_);_(@_)">
                  <c:v>94602</c:v>
                </c:pt>
                <c:pt idx="242" formatCode="_([$$-409]* #\ ##0.00_);_([$$-409]* \(#\ ##0.00\);_([$$-409]* &quot;-&quot;??_);_(@_)">
                  <c:v>94866.19</c:v>
                </c:pt>
                <c:pt idx="243" formatCode="_([$$-409]* #\ ##0.00_);_([$$-409]* \(#\ ##0.00\);_([$$-409]* &quot;-&quot;??_);_(@_)">
                  <c:v>94506.93</c:v>
                </c:pt>
                <c:pt idx="244" formatCode="_([$$-409]* #\ ##0.00_);_([$$-409]* \(#\ ##0.00\);_([$$-409]* &quot;-&quot;??_);_(@_)">
                  <c:v>94312.53</c:v>
                </c:pt>
                <c:pt idx="245" formatCode="_([$$-409]* #\ ##0.00_);_([$$-409]* \(#\ ##0.00\);_([$$-409]* &quot;-&quot;??_);_(@_)">
                  <c:v>94158.54</c:v>
                </c:pt>
                <c:pt idx="246" formatCode="_([$$-409]* #\ ##0.00_);_([$$-409]* \(#\ ##0.00\);_([$$-409]* &quot;-&quot;??_);_(@_)">
                  <c:v>94959.15</c:v>
                </c:pt>
                <c:pt idx="247" formatCode="_([$$-409]* #\ ##0.00_);_([$$-409]* \(#\ ##0.00\);_([$$-409]* &quot;-&quot;??_);_(@_)">
                  <c:v>93494.76</c:v>
                </c:pt>
                <c:pt idx="248" formatCode="_([$$-409]* #\ ##0.00_);_([$$-409]* \(#\ ##0.00\);_([$$-409]* &quot;-&quot;??_);_(@_)">
                  <c:v>93657.36</c:v>
                </c:pt>
                <c:pt idx="249" formatCode="_([$$-409]* #\ ##0.00_);_([$$-409]* \(#\ ##0.00\);_([$$-409]* &quot;-&quot;??_);_(@_)">
                  <c:v>91157.99</c:v>
                </c:pt>
                <c:pt idx="250" formatCode="_([$$-409]* #\ ##0.00_);_([$$-409]* \(#\ ##0.00\);_([$$-409]* &quot;-&quot;??_);_(@_)">
                  <c:v>87368.62</c:v>
                </c:pt>
                <c:pt idx="251" formatCode="_([$$-409]* #\ ##0.00_);_([$$-409]* \(#\ ##0.00\);_([$$-409]* &quot;-&quot;??_);_(@_)">
                  <c:v>85136.12</c:v>
                </c:pt>
                <c:pt idx="252" formatCode="_([$$-409]* #\ ##0.00_);_([$$-409]* \(#\ ##0.00\);_([$$-409]* &quot;-&quot;??_);_(@_)">
                  <c:v>85170.18</c:v>
                </c:pt>
                <c:pt idx="253" formatCode="_([$$-409]* #\ ##0.00_);_([$$-409]* \(#\ ##0.00\);_([$$-409]* &quot;-&quot;??_);_(@_)">
                  <c:v>84486.61</c:v>
                </c:pt>
                <c:pt idx="254" formatCode="_([$$-409]* #\ ##0.00_);_([$$-409]* \(#\ ##0.00\);_([$$-409]* &quot;-&quot;??_);_(@_)">
                  <c:v>85137.73</c:v>
                </c:pt>
                <c:pt idx="255" formatCode="_([$$-409]* #\ ##0.00_);_([$$-409]* \(#\ ##0.00\);_([$$-409]* &quot;-&quot;??_);_(@_)">
                  <c:v>84302.97</c:v>
                </c:pt>
                <c:pt idx="256" formatCode="_([$$-409]* #\ ##0.00_);_([$$-409]* \(#\ ##0.00\);_([$$-409]* &quot;-&quot;??_);_(@_)">
                  <c:v>84015.83</c:v>
                </c:pt>
                <c:pt idx="257" formatCode="_([$$-409]* #\ ##0.00_);_([$$-409]* \(#\ ##0.00\);_([$$-409]* &quot;-&quot;??_);_(@_)">
                  <c:v>84850.33</c:v>
                </c:pt>
                <c:pt idx="258" formatCode="_([$$-409]* #\ ##0.00_);_([$$-409]* \(#\ ##0.00\);_([$$-409]* &quot;-&quot;??_);_(@_)">
                  <c:v>83449.539999999994</c:v>
                </c:pt>
                <c:pt idx="259" formatCode="_([$$-409]* #\ ##0.00_);_([$$-409]* \(#\ ##0.00\);_([$$-409]* &quot;-&quot;??_);_(@_)">
                  <c:v>85505.39</c:v>
                </c:pt>
                <c:pt idx="260" formatCode="_([$$-409]* #\ ##0.00_);_([$$-409]* \(#\ ##0.00\);_([$$-409]* &quot;-&quot;??_);_(@_)">
                  <c:v>83819.55</c:v>
                </c:pt>
                <c:pt idx="261" formatCode="_([$$-409]* #\ ##0.00_);_([$$-409]* \(#\ ##0.00\);_([$$-409]* &quot;-&quot;??_);_(@_)">
                  <c:v>79909.08</c:v>
                </c:pt>
                <c:pt idx="262" formatCode="_([$$-409]* #\ ##0.00_);_([$$-409]* \(#\ ##0.00\);_([$$-409]* &quot;-&quot;??_);_(@_)">
                  <c:v>83198.210000000006</c:v>
                </c:pt>
                <c:pt idx="263" formatCode="_([$$-409]* #\ ##0.00_);_([$$-409]* \(#\ ##0.00\);_([$$-409]* &quot;-&quot;??_);_(@_)">
                  <c:v>77113.279999999999</c:v>
                </c:pt>
                <c:pt idx="264" formatCode="_([$$-409]* #\ ##0.00_);_([$$-409]* \(#\ ##0.00\);_([$$-409]* &quot;-&quot;??_);_(@_)">
                  <c:v>78917.289999999994</c:v>
                </c:pt>
                <c:pt idx="265" formatCode="_([$$-409]* #\ ##0.00_);_([$$-409]* \(#\ ##0.00\);_([$$-409]* &quot;-&quot;??_);_(@_)">
                  <c:v>78805.3</c:v>
                </c:pt>
                <c:pt idx="266" formatCode="_([$$-409]* #\ ##0.00_);_([$$-409]* \(#\ ##0.00\);_([$$-409]* &quot;-&quot;??_);_(@_)">
                  <c:v>83046.41</c:v>
                </c:pt>
                <c:pt idx="267" formatCode="_([$$-409]* #\ ##0.00_);_([$$-409]* \(#\ ##0.00\);_([$$-409]* &quot;-&quot;??_);_(@_)">
                  <c:v>84142.78</c:v>
                </c:pt>
                <c:pt idx="268" formatCode="_([$$-409]* #\ ##0.00_);_([$$-409]* \(#\ ##0.00\);_([$$-409]* &quot;-&quot;??_);_(@_)">
                  <c:v>82357.52</c:v>
                </c:pt>
                <c:pt idx="269" formatCode="_([$$-409]* #\ ##0.00_);_([$$-409]* \(#\ ##0.00\);_([$$-409]* &quot;-&quot;??_);_(@_)">
                  <c:v>85736.87</c:v>
                </c:pt>
                <c:pt idx="270" formatCode="_([$$-409]* #\ ##0.00_);_([$$-409]* \(#\ ##0.00\);_([$$-409]* &quot;-&quot;??_);_(@_)">
                  <c:v>85254.12</c:v>
                </c:pt>
                <c:pt idx="271" formatCode="_([$$-409]* #\ ##0.00_);_([$$-409]* \(#\ ##0.00\);_([$$-409]* &quot;-&quot;??_);_(@_)">
                  <c:v>82439.490000000005</c:v>
                </c:pt>
                <c:pt idx="272" formatCode="_([$$-409]* #\ ##0.00_);_([$$-409]* \(#\ ##0.00\);_([$$-409]* &quot;-&quot;??_);_(@_)">
                  <c:v>82605.759999999995</c:v>
                </c:pt>
                <c:pt idx="273" formatCode="_([$$-409]* #\ ##0.00_);_([$$-409]* \(#\ ##0.00\);_([$$-409]* &quot;-&quot;??_);_(@_)">
                  <c:v>82519.47</c:v>
                </c:pt>
                <c:pt idx="274" formatCode="_([$$-409]* #\ ##0.00_);_([$$-409]* \(#\ ##0.00\);_([$$-409]* &quot;-&quot;??_);_(@_)">
                  <c:v>83797.27</c:v>
                </c:pt>
                <c:pt idx="275" formatCode="_([$$-409]* #\ ##0.00_);_([$$-409]* \(#\ ##0.00\);_([$$-409]* &quot;-&quot;??_);_(@_)">
                  <c:v>87305.52</c:v>
                </c:pt>
                <c:pt idx="276" formatCode="_([$$-409]* #\ ##0.00_);_([$$-409]* \(#\ ##0.00\);_([$$-409]* &quot;-&quot;??_);_(@_)">
                  <c:v>87307.37</c:v>
                </c:pt>
                <c:pt idx="277" formatCode="_([$$-409]* #\ ##0.00_);_([$$-409]* \(#\ ##0.00\);_([$$-409]* &quot;-&quot;??_);_(@_)">
                  <c:v>87906.04</c:v>
                </c:pt>
                <c:pt idx="278" formatCode="_([$$-409]* #\ ##0.00_);_([$$-409]* \(#\ ##0.00\);_([$$-409]* &quot;-&quot;??_);_(@_)">
                  <c:v>87887.82</c:v>
                </c:pt>
                <c:pt idx="279" formatCode="_([$$-409]* #\ ##0.00_);_([$$-409]* \(#\ ##0.00\);_([$$-409]* &quot;-&quot;??_);_(@_)">
                  <c:v>85123.61</c:v>
                </c:pt>
                <c:pt idx="280" formatCode="_([$$-409]* #\ ##0.00_);_([$$-409]* \(#\ ##0.00\);_([$$-409]* &quot;-&quot;??_);_(@_)">
                  <c:v>83952.1</c:v>
                </c:pt>
                <c:pt idx="281" formatCode="_([$$-409]* #\ ##0.00_);_([$$-409]* \(#\ ##0.00\);_([$$-409]* &quot;-&quot;??_);_(@_)">
                  <c:v>84200.74</c:v>
                </c:pt>
                <c:pt idx="282" formatCode="_([$$-409]* #\ ##0.00_);_([$$-409]* \(#\ ##0.00\);_([$$-409]* &quot;-&quot;??_);_(@_)">
                  <c:v>84522.2</c:v>
                </c:pt>
                <c:pt idx="283" formatCode="_([$$-409]* #\ ##0.00_);_([$$-409]* \(#\ ##0.00\);_([$$-409]* &quot;-&quot;??_);_(@_)">
                  <c:v>85395.6</c:v>
                </c:pt>
                <c:pt idx="284" formatCode="_([$$-409]* #\ ##0.00_);_([$$-409]* \(#\ ##0.00\);_([$$-409]* &quot;-&quot;??_);_(@_)">
                  <c:v>82029.94</c:v>
                </c:pt>
                <c:pt idx="285" formatCode="_([$$-409]* #\ ##0.00_);_([$$-409]* \(#\ ##0.00\);_([$$-409]* &quot;-&quot;??_);_(@_)">
                  <c:v>83981.32</c:v>
                </c:pt>
                <c:pt idx="286" formatCode="_([$$-409]* #\ ##0.00_);_([$$-409]* \(#\ ##0.00\);_([$$-409]* &quot;-&quot;??_);_(@_)">
                  <c:v>83234.53</c:v>
                </c:pt>
                <c:pt idx="287" formatCode="_([$$-409]* #\ ##0.00_);_([$$-409]* \(#\ ##0.00\);_([$$-409]* &quot;-&quot;??_);_(@_)">
                  <c:v>84418.12</c:v>
                </c:pt>
                <c:pt idx="288" formatCode="_([$$-409]* #\ ##0.00_);_([$$-409]* \(#\ ##0.00\);_([$$-409]* &quot;-&quot;??_);_(@_)">
                  <c:v>84176.13</c:v>
                </c:pt>
                <c:pt idx="289" formatCode="_([$$-409]* #\ ##0.00_);_([$$-409]* \(#\ ##0.00\);_([$$-409]* &quot;-&quot;??_);_(@_)">
                  <c:v>80370.52</c:v>
                </c:pt>
                <c:pt idx="290" formatCode="_([$$-409]* #\ ##0.00_);_([$$-409]* \(#\ ##0.00\);_([$$-409]* &quot;-&quot;??_);_(@_)">
                  <c:v>83142</c:v>
                </c:pt>
                <c:pt idx="291" formatCode="_([$$-409]* #\ ##0.00_);_([$$-409]* \(#\ ##0.00\);_([$$-409]* &quot;-&quot;??_);_(@_)">
                  <c:v>82829.899999999994</c:v>
                </c:pt>
                <c:pt idx="292" formatCode="_([$$-409]* #\ ##0.00_);_([$$-409]* \(#\ ##0.00\);_([$$-409]* &quot;-&quot;??_);_(@_)">
                  <c:v>79298.86</c:v>
                </c:pt>
                <c:pt idx="293" formatCode="_([$$-409]* #\ ##0.00_);_([$$-409]* \(#\ ##0.00\);_([$$-409]* &quot;-&quot;??_);_(@_)">
                  <c:v>83058.320000000007</c:v>
                </c:pt>
                <c:pt idx="294" formatCode="_([$$-409]* #\ ##0.00_);_([$$-409]* \(#\ ##0.00\);_([$$-409]* &quot;-&quot;??_);_(@_)">
                  <c:v>86263.67</c:v>
                </c:pt>
                <c:pt idx="295" formatCode="_([$$-409]* #\ ##0.00_);_([$$-409]* \(#\ ##0.00\);_([$$-409]* &quot;-&quot;??_);_(@_)">
                  <c:v>86306.13</c:v>
                </c:pt>
                <c:pt idx="296" formatCode="_([$$-409]* #\ ##0.00_);_([$$-409]* \(#\ ##0.00\);_([$$-409]* &quot;-&quot;??_);_(@_)">
                  <c:v>90023.91</c:v>
                </c:pt>
                <c:pt idx="297" formatCode="_([$$-409]* #\ ##0.00_);_([$$-409]* \(#\ ##0.00\);_([$$-409]* &quot;-&quot;??_);_(@_)">
                  <c:v>90412.51</c:v>
                </c:pt>
                <c:pt idx="298" formatCode="_([$$-409]* #\ ##0.00_);_([$$-409]* \(#\ ##0.00\);_([$$-409]* &quot;-&quot;??_);_(@_)">
                  <c:v>87519.11</c:v>
                </c:pt>
                <c:pt idx="299" formatCode="_([$$-409]* #\ ##0.00_);_([$$-409]* \(#\ ##0.00\);_([$$-409]* &quot;-&quot;??_);_(@_)">
                  <c:v>85316.2</c:v>
                </c:pt>
                <c:pt idx="300" formatCode="_([$$-409]* #\ ##0.00_);_([$$-409]* \(#\ ##0.00\);_([$$-409]* &quot;-&quot;??_);_(@_)">
                  <c:v>94307.99</c:v>
                </c:pt>
                <c:pt idx="301" formatCode="_([$$-409]* #\ ##0.00_);_([$$-409]* \(#\ ##0.00\);_([$$-409]* &quot;-&quot;??_);_(@_)">
                  <c:v>86045.06</c:v>
                </c:pt>
                <c:pt idx="302" formatCode="_([$$-409]* #\ ##0.00_);_([$$-409]* \(#\ ##0.00\);_([$$-409]* &quot;-&quot;??_);_(@_)">
                  <c:v>84299.31</c:v>
                </c:pt>
                <c:pt idx="303" formatCode="_([$$-409]* #\ ##0.00_);_([$$-409]* \(#\ ##0.00\);_([$$-409]* &quot;-&quot;??_);_(@_)">
                  <c:v>84299.31</c:v>
                </c:pt>
                <c:pt idx="304" formatCode="_([$$-409]* #\ ##0.00_);_([$$-409]* \(#\ ##0.00\);_([$$-409]* &quot;-&quot;??_);_(@_)">
                  <c:v>84473.919999999998</c:v>
                </c:pt>
                <c:pt idx="305" formatCode="_([$$-409]* #\ ##0.00_);_([$$-409]* \(#\ ##0.00\);_([$$-409]* &quot;-&quot;??_);_(@_)">
                  <c:v>88706.67</c:v>
                </c:pt>
                <c:pt idx="306" formatCode="_([$$-409]* #\ ##0.00_);_([$$-409]* \(#\ ##0.00\);_([$$-409]* &quot;-&quot;??_);_(@_)">
                  <c:v>93997.17</c:v>
                </c:pt>
                <c:pt idx="307" formatCode="_([$$-409]* #\ ##0.00_);_([$$-409]* \(#\ ##0.00\);_([$$-409]* &quot;-&quot;??_);_(@_)">
                  <c:v>95678.5</c:v>
                </c:pt>
                <c:pt idx="308" formatCode="_([$$-409]* #\ ##0.00_);_([$$-409]* \(#\ ##0.00\);_([$$-409]* &quot;-&quot;??_);_(@_)">
                  <c:v>98136.92</c:v>
                </c:pt>
                <c:pt idx="309" formatCode="_([$$-409]* #\ ##0.00_);_([$$-409]* \(#\ ##0.00\);_([$$-409]* &quot;-&quot;??_);_(@_)">
                  <c:v>98136.92</c:v>
                </c:pt>
                <c:pt idx="310" formatCode="_([$$-409]* #\ ##0.00_);_([$$-409]* \(#\ ##0.00\);_([$$-409]* &quot;-&quot;??_);_(@_)">
                  <c:v>96330.9</c:v>
                </c:pt>
                <c:pt idx="311" formatCode="_([$$-409]* #\ ##0.00_);_([$$-409]* \(#\ ##0.00\);_([$$-409]* &quot;-&quot;??_);_(@_)">
                  <c:v>95044.08</c:v>
                </c:pt>
                <c:pt idx="312" formatCode="_([$$-409]* #\ ##0.00_);_([$$-409]* \(#\ ##0.00\);_([$$-409]* &quot;-&quot;??_);_(@_)">
                  <c:v>96429.84</c:v>
                </c:pt>
                <c:pt idx="313" formatCode="_([$$-409]* #\ ##0.00_);_([$$-409]* \(#\ ##0.00\);_([$$-409]* &quot;-&quot;??_);_(@_)">
                  <c:v>96983.4</c:v>
                </c:pt>
                <c:pt idx="314" formatCode="_([$$-409]* #\ ##0.00_);_([$$-409]* \(#\ ##0.00\);_([$$-409]* &quot;-&quot;??_);_(@_)">
                  <c:v>97686.52</c:v>
                </c:pt>
                <c:pt idx="315" formatCode="_([$$-409]* #\ ##0.00_);_([$$-409]* \(#\ ##0.00\);_([$$-409]* &quot;-&quot;??_);_(@_)">
                  <c:v>96533.440000000002</c:v>
                </c:pt>
                <c:pt idx="316" formatCode="_([$$-409]* #\ ##0.00_);_([$$-409]* \(#\ ##0.00\);_([$$-409]* &quot;-&quot;??_);_(@_)">
                  <c:v>97689.05</c:v>
                </c:pt>
                <c:pt idx="317" formatCode="_([$$-409]* #\ ##0.00_);_([$$-409]* \(#\ ##0.00\);_([$$-409]* &quot;-&quot;??_);_(@_)">
                  <c:v>96356.63</c:v>
                </c:pt>
                <c:pt idx="318" formatCode="_([$$-409]* #\ ##0.00_);_([$$-409]* \(#\ ##0.00\);_([$$-409]* &quot;-&quot;??_);_(@_)">
                  <c:v>97412.52</c:v>
                </c:pt>
                <c:pt idx="319" formatCode="_([$$-409]* #\ ##0.00_);_([$$-409]* \(#\ ##0.00\);_([$$-409]* &quot;-&quot;??_);_(@_)">
                  <c:v>96101.440000000002</c:v>
                </c:pt>
                <c:pt idx="320" formatCode="_([$$-409]* #\ ##0.00_);_([$$-409]* \(#\ ##0.00\);_([$$-409]* &quot;-&quot;??_);_(@_)">
                  <c:v>2.4241000000000001</c:v>
                </c:pt>
                <c:pt idx="321" formatCode="_([$$-409]* #\ ##0.00_);_([$$-409]* \(#\ ##0.00\);_([$$-409]* &quot;-&quot;??_);_(@_)">
                  <c:v>96821.23</c:v>
                </c:pt>
                <c:pt idx="322" formatCode="_([$$-409]* #\ ##0.00_);_([$$-409]* \(#\ ##0.00\);_([$$-409]* &quot;-&quot;??_);_(@_)">
                  <c:v>96821.23</c:v>
                </c:pt>
                <c:pt idx="323" formatCode="_([$$-409]* #\ ##0.00_);_([$$-409]* \(#\ ##0.00\);_([$$-409]* &quot;-&quot;??_);_(@_)">
                  <c:v>96899.92</c:v>
                </c:pt>
                <c:pt idx="324" formatCode="_([$$-409]* #\ ##0.00_);_([$$-409]* \(#\ ##0.00\);_([$$-409]* &quot;-&quot;??_);_(@_)">
                  <c:v>96474.29</c:v>
                </c:pt>
                <c:pt idx="325" formatCode="_([$$-409]* #\ ##0.00_);_([$$-409]* \(#\ ##0.00\);_([$$-409]* &quot;-&quot;??_);_(@_)">
                  <c:v>101900.03</c:v>
                </c:pt>
                <c:pt idx="326" formatCode="_([$$-409]* #\ ##0.00_);_([$$-409]* \(#\ ##0.00\);_([$$-409]* &quot;-&quot;??_);_(@_)">
                  <c:v>97062.79</c:v>
                </c:pt>
                <c:pt idx="327" formatCode="_([$$-409]* #\ ##0.00_);_([$$-409]* \(#\ ##0.00\);_([$$-409]* &quot;-&quot;??_);_(@_)">
                  <c:v>101203.33</c:v>
                </c:pt>
                <c:pt idx="328" formatCode="_([$$-409]* #\ ##0.00_);_([$$-409]* \(#\ ##0.00\);_([$$-409]* &quot;-&quot;??_);_(@_)">
                  <c:v>105064.16</c:v>
                </c:pt>
                <c:pt idx="329" formatCode="_([$$-409]* #\ ##0.00_);_([$$-409]* \(#\ ##0.00\);_([$$-409]* &quot;-&quot;??_);_(@_)">
                  <c:v>103772.21</c:v>
                </c:pt>
                <c:pt idx="330" formatCode="_([$$-409]* #\ ##0.00_);_([$$-409]* \(#\ ##0.00\);_([$$-409]* &quot;-&quot;??_);_(@_)">
                  <c:v>100321.98</c:v>
                </c:pt>
                <c:pt idx="331" formatCode="_([$$-409]* #\ ##0.00_);_([$$-409]* \(#\ ##0.00\);_([$$-409]* &quot;-&quot;??_);_(@_)">
                  <c:v>101415.3</c:v>
                </c:pt>
                <c:pt idx="332" formatCode="_([$$-409]* #\ ##0.00_);_([$$-409]* \(#\ ##0.00\);_([$$-409]* &quot;-&quot;??_);_(@_)">
                  <c:v>104926.3</c:v>
                </c:pt>
                <c:pt idx="333" formatCode="_([$$-409]* #\ ##0.00_);_([$$-409]* \(#\ ##0.00\);_([$$-409]* &quot;-&quot;??_);_(@_)">
                  <c:v>105094.59</c:v>
                </c:pt>
                <c:pt idx="334" formatCode="_([$$-409]* #\ ##0.00_);_([$$-409]* \(#\ ##0.00\);_([$$-409]* &quot;-&quot;??_);_(@_)">
                  <c:v>103048.72</c:v>
                </c:pt>
                <c:pt idx="335" formatCode="_([$$-409]* #\ ##0.00_);_([$$-409]* \(#\ ##0.00\);_([$$-409]* &quot;-&quot;??_);_(@_)">
                  <c:v>103048.72</c:v>
                </c:pt>
                <c:pt idx="336" formatCode="_([$$-409]* #\ ##0.00_);_([$$-409]* \(#\ ##0.00\);_([$$-409]* &quot;-&quot;??_);_(@_)">
                  <c:v>104056.06</c:v>
                </c:pt>
                <c:pt idx="337" formatCode="_([$$-409]* #\ ##0.00_);_([$$-409]* \(#\ ##0.00\);_([$$-409]* &quot;-&quot;??_);_(@_)">
                  <c:v>106769.18</c:v>
                </c:pt>
                <c:pt idx="338" formatCode="_([$$-409]* #\ ##0.00_);_([$$-409]* \(#\ ##0.00\);_([$$-409]* &quot;-&quot;??_);_(@_)">
                  <c:v>102522.42</c:v>
                </c:pt>
                <c:pt idx="339" formatCode="_([$$-409]* #\ ##0.00_);_([$$-409]* \(#\ ##0.00\);_([$$-409]* &quot;-&quot;??_);_(@_)">
                  <c:v>104999.96</c:v>
                </c:pt>
                <c:pt idx="340" formatCode="_([$$-409]* #\ ##0.00_);_([$$-409]* \(#\ ##0.00\);_([$$-409]* &quot;-&quot;??_);_(@_)">
                  <c:v>103833.52</c:v>
                </c:pt>
                <c:pt idx="341" formatCode="_([$$-409]* #\ ##0.00_);_([$$-409]* \(#\ ##0.00\);_([$$-409]* &quot;-&quot;??_);_(@_)">
                  <c:v>100126.8</c:v>
                </c:pt>
                <c:pt idx="342" formatCode="_([$$-409]* #\ ##0.00_);_([$$-409]* \(#\ ##0.00\);_([$$-409]* &quot;-&quot;??_);_(@_)">
                  <c:v>100126.8</c:v>
                </c:pt>
                <c:pt idx="343" formatCode="_([$$-409]* #\ ##0.00_);_([$$-409]* \(#\ ##0.00\);_([$$-409]* &quot;-&quot;??_);_(@_)">
                  <c:v>99690.13</c:v>
                </c:pt>
                <c:pt idx="344" formatCode="_([$$-409]* #\ ##0.00_);_([$$-409]* \(#\ ##0.00\);_([$$-409]* &quot;-&quot;??_);_(@_)">
                  <c:v>96482.94</c:v>
                </c:pt>
                <c:pt idx="345" formatCode="_([$$-409]* #\ ##0.00_);_([$$-409]* \(#\ ##0.00\);_([$$-409]* &quot;-&quot;??_);_(@_)">
                  <c:v>94210.61</c:v>
                </c:pt>
                <c:pt idx="346" formatCode="_([$$-409]* #\ ##0.00_);_([$$-409]* \(#\ ##0.00\);_([$$-409]* &quot;-&quot;??_);_(@_)">
                  <c:v>95118.1</c:v>
                </c:pt>
                <c:pt idx="347" formatCode="_([$$-409]* #\ ##0.00_);_([$$-409]* \(#\ ##0.00\);_([$$-409]* &quot;-&quot;??_);_(@_)">
                  <c:v>94925.48</c:v>
                </c:pt>
                <c:pt idx="348" formatCode="_([$$-409]* #\ ##0.00_);_([$$-409]* \(#\ ##0.00\);_([$$-409]* &quot;-&quot;??_);_(@_)">
                  <c:v>92114</c:v>
                </c:pt>
                <c:pt idx="349" formatCode="_([$$-409]* #\ ##0.00_);_([$$-409]* \(#\ ##0.00\);_([$$-409]* &quot;-&quot;??_);_(@_)">
                  <c:v>92114</c:v>
                </c:pt>
                <c:pt idx="350" formatCode="_([$$-409]* #\ ##0.00_);_([$$-409]* \(#\ ##0.00\);_([$$-409]* &quot;-&quot;??_);_(@_)">
                  <c:v>94474.61</c:v>
                </c:pt>
                <c:pt idx="351" formatCode="_([$$-409]* #\ ##0.00_);_([$$-409]* \(#\ ##0.00\);_([$$-409]* &quot;-&quot;??_);_(@_)">
                  <c:v>96454.46</c:v>
                </c:pt>
                <c:pt idx="352" formatCode="_([$$-409]* #\ ##0.00_);_([$$-409]* \(#\ ##0.00\);_([$$-409]* &quot;-&quot;??_);_(@_)">
                  <c:v>101653.61</c:v>
                </c:pt>
                <c:pt idx="353" formatCode="_([$$-409]* #\ ##0.00_);_([$$-409]* \(#\ ##0.00\);_([$$-409]* &quot;-&quot;??_);_(@_)">
                  <c:v>97707.83</c:v>
                </c:pt>
                <c:pt idx="354" formatCode="_([$$-409]* #\ ##0.00_);_([$$-409]* \(#\ ##0.00\);_([$$-409]* &quot;-&quot;??_);_(@_)">
                  <c:v>98354</c:v>
                </c:pt>
                <c:pt idx="355" formatCode="_([$$-409]* #\ ##0.00_);_([$$-409]* \(#\ ##0.00\);_([$$-409]* &quot;-&quot;??_);_(@_)">
                  <c:v>97102.1</c:v>
                </c:pt>
                <c:pt idx="356" formatCode="_([$$-409]* #\ ##0.00_);_([$$-409]* \(#\ ##0.00\);_([$$-409]* &quot;-&quot;??_);_(@_)">
                  <c:v>97102.1</c:v>
                </c:pt>
                <c:pt idx="357" formatCode="_([$$-409]* #\ ##0.00_);_([$$-409]* \(#\ ##0.00\);_([$$-409]* &quot;-&quot;??_);_(@_)">
                  <c:v>94777</c:v>
                </c:pt>
                <c:pt idx="358" formatCode="_([$$-409]* #\ ##0.00_);_([$$-409]* \(#\ ##0.00\);_([$$-409]* &quot;-&quot;??_);_(@_)">
                  <c:v>93700.65</c:v>
                </c:pt>
                <c:pt idx="359" formatCode="_([$$-409]* #\ ##0.00_);_([$$-409]* \(#\ ##0.00\);_([$$-409]* &quot;-&quot;??_);_(@_)">
                  <c:v>91923</c:v>
                </c:pt>
                <c:pt idx="360" formatCode="_([$$-409]* #\ ##0.00_);_([$$-409]* \(#\ ##0.00\);_([$$-409]* &quot;-&quot;??_);_(@_)">
                  <c:v>93792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61-3945-826A-00A7357DACBF}"/>
            </c:ext>
          </c:extLst>
        </c:ser>
        <c:ser>
          <c:idx val="1"/>
          <c:order val="1"/>
          <c:tx>
            <c:strRef>
              <c:f>'Present Values'!$C$9</c:f>
              <c:strCache>
                <c:ptCount val="1"/>
                <c:pt idx="0">
                  <c:v> High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'Present Values'!$A$8:$A$368</c:f>
              <c:strCache>
                <c:ptCount val="361"/>
                <c:pt idx="1">
                  <c:v>Date</c:v>
                </c:pt>
                <c:pt idx="2">
                  <c:v>28/12/2025</c:v>
                </c:pt>
                <c:pt idx="3">
                  <c:v>27/12/2025</c:v>
                </c:pt>
                <c:pt idx="4">
                  <c:v>26/12/2025</c:v>
                </c:pt>
                <c:pt idx="5">
                  <c:v>25/12/2025</c:v>
                </c:pt>
                <c:pt idx="6">
                  <c:v>24/12/2025</c:v>
                </c:pt>
                <c:pt idx="7">
                  <c:v>23/12/2025</c:v>
                </c:pt>
                <c:pt idx="8">
                  <c:v>22/12/2025</c:v>
                </c:pt>
                <c:pt idx="9">
                  <c:v>21/12/2025</c:v>
                </c:pt>
                <c:pt idx="10">
                  <c:v>20/12/2025</c:v>
                </c:pt>
                <c:pt idx="11">
                  <c:v>19/12/2025</c:v>
                </c:pt>
                <c:pt idx="12">
                  <c:v>18/12/2025</c:v>
                </c:pt>
                <c:pt idx="13">
                  <c:v>17/12/2025</c:v>
                </c:pt>
                <c:pt idx="14">
                  <c:v>16/12/2025</c:v>
                </c:pt>
                <c:pt idx="15">
                  <c:v>15/12/2025</c:v>
                </c:pt>
                <c:pt idx="16">
                  <c:v>14/12/2025</c:v>
                </c:pt>
                <c:pt idx="17">
                  <c:v>13/12/2025</c:v>
                </c:pt>
                <c:pt idx="18">
                  <c:v>12/12/2025</c:v>
                </c:pt>
                <c:pt idx="19">
                  <c:v>11/12/2025</c:v>
                </c:pt>
                <c:pt idx="20">
                  <c:v>10/12/2025</c:v>
                </c:pt>
                <c:pt idx="21">
                  <c:v>09/12/2025</c:v>
                </c:pt>
                <c:pt idx="22">
                  <c:v>08/12/2025</c:v>
                </c:pt>
                <c:pt idx="23">
                  <c:v>07/12/2025</c:v>
                </c:pt>
                <c:pt idx="24">
                  <c:v>06/12/2025</c:v>
                </c:pt>
                <c:pt idx="25">
                  <c:v>05/12/2025</c:v>
                </c:pt>
                <c:pt idx="26">
                  <c:v>04/12/2025</c:v>
                </c:pt>
                <c:pt idx="27">
                  <c:v>03/12/2025</c:v>
                </c:pt>
                <c:pt idx="28">
                  <c:v>02/12/2025</c:v>
                </c:pt>
                <c:pt idx="29">
                  <c:v>01/12/2025</c:v>
                </c:pt>
                <c:pt idx="30">
                  <c:v>30/11/2025</c:v>
                </c:pt>
                <c:pt idx="31">
                  <c:v>29/11/2025</c:v>
                </c:pt>
                <c:pt idx="32">
                  <c:v>28/11/2025</c:v>
                </c:pt>
                <c:pt idx="33">
                  <c:v>27/11/2025</c:v>
                </c:pt>
                <c:pt idx="34">
                  <c:v>26/11/2025</c:v>
                </c:pt>
                <c:pt idx="35">
                  <c:v>25/11/2025</c:v>
                </c:pt>
                <c:pt idx="36">
                  <c:v>24/11/2025</c:v>
                </c:pt>
                <c:pt idx="37">
                  <c:v>23/11/2025</c:v>
                </c:pt>
                <c:pt idx="38">
                  <c:v>22/11/2025</c:v>
                </c:pt>
                <c:pt idx="39">
                  <c:v>21/11/2025</c:v>
                </c:pt>
                <c:pt idx="40">
                  <c:v>20/11/2025</c:v>
                </c:pt>
                <c:pt idx="41">
                  <c:v>19/11/2025</c:v>
                </c:pt>
                <c:pt idx="42">
                  <c:v>18/11/2025</c:v>
                </c:pt>
                <c:pt idx="43">
                  <c:v>17/11/2025</c:v>
                </c:pt>
                <c:pt idx="44">
                  <c:v>16/11/2025</c:v>
                </c:pt>
                <c:pt idx="45">
                  <c:v>15/11/2025</c:v>
                </c:pt>
                <c:pt idx="46">
                  <c:v>14/11/2025</c:v>
                </c:pt>
                <c:pt idx="47">
                  <c:v>13/11/2025</c:v>
                </c:pt>
                <c:pt idx="48">
                  <c:v>12/11/2025</c:v>
                </c:pt>
                <c:pt idx="49">
                  <c:v>11/11/2025</c:v>
                </c:pt>
                <c:pt idx="50">
                  <c:v>10/11/2025</c:v>
                </c:pt>
                <c:pt idx="51">
                  <c:v>09/11/2025</c:v>
                </c:pt>
                <c:pt idx="52">
                  <c:v>08/11/2025</c:v>
                </c:pt>
                <c:pt idx="53">
                  <c:v>07/11/2025</c:v>
                </c:pt>
                <c:pt idx="54">
                  <c:v>06/11/2025</c:v>
                </c:pt>
                <c:pt idx="55">
                  <c:v>05/11/2025</c:v>
                </c:pt>
                <c:pt idx="56">
                  <c:v>04/11/2025</c:v>
                </c:pt>
                <c:pt idx="57">
                  <c:v>03/11/2025</c:v>
                </c:pt>
                <c:pt idx="58">
                  <c:v>02/11/2025</c:v>
                </c:pt>
                <c:pt idx="59">
                  <c:v>31/10/2025</c:v>
                </c:pt>
                <c:pt idx="60">
                  <c:v>30/10/2025</c:v>
                </c:pt>
                <c:pt idx="61">
                  <c:v>29/10/2025</c:v>
                </c:pt>
                <c:pt idx="62">
                  <c:v>28/10/2025</c:v>
                </c:pt>
                <c:pt idx="63">
                  <c:v>27/10/2025</c:v>
                </c:pt>
                <c:pt idx="64">
                  <c:v>26/10/2025</c:v>
                </c:pt>
                <c:pt idx="65">
                  <c:v>25/10/2025</c:v>
                </c:pt>
                <c:pt idx="66">
                  <c:v>24/10/2025</c:v>
                </c:pt>
                <c:pt idx="67">
                  <c:v>23/10/2025</c:v>
                </c:pt>
                <c:pt idx="68">
                  <c:v>22/10/2025</c:v>
                </c:pt>
                <c:pt idx="69">
                  <c:v>21/10/2025</c:v>
                </c:pt>
                <c:pt idx="70">
                  <c:v>20/10/2025</c:v>
                </c:pt>
                <c:pt idx="71">
                  <c:v>18/10/2025</c:v>
                </c:pt>
                <c:pt idx="72">
                  <c:v>17/10/2025</c:v>
                </c:pt>
                <c:pt idx="73">
                  <c:v>16/10/2025</c:v>
                </c:pt>
                <c:pt idx="74">
                  <c:v>15/10/2025</c:v>
                </c:pt>
                <c:pt idx="75">
                  <c:v>14/10/2025</c:v>
                </c:pt>
                <c:pt idx="76">
                  <c:v>13/10/2025</c:v>
                </c:pt>
                <c:pt idx="77">
                  <c:v>12/10/2025</c:v>
                </c:pt>
                <c:pt idx="78">
                  <c:v>11/10/2025</c:v>
                </c:pt>
                <c:pt idx="79">
                  <c:v>10/10/2025</c:v>
                </c:pt>
                <c:pt idx="80">
                  <c:v>09/10/2025</c:v>
                </c:pt>
                <c:pt idx="81">
                  <c:v>08/10/2025</c:v>
                </c:pt>
                <c:pt idx="82">
                  <c:v>07/10/2025</c:v>
                </c:pt>
                <c:pt idx="83">
                  <c:v>06/10/2025</c:v>
                </c:pt>
                <c:pt idx="84">
                  <c:v>05/10/2025</c:v>
                </c:pt>
                <c:pt idx="85">
                  <c:v>04/10/2025</c:v>
                </c:pt>
                <c:pt idx="86">
                  <c:v>03/10/2025</c:v>
                </c:pt>
                <c:pt idx="87">
                  <c:v>02/10/2025</c:v>
                </c:pt>
                <c:pt idx="88">
                  <c:v>01/10/2025</c:v>
                </c:pt>
                <c:pt idx="89">
                  <c:v>30/09/2025</c:v>
                </c:pt>
                <c:pt idx="90">
                  <c:v>29/09/2025</c:v>
                </c:pt>
                <c:pt idx="91">
                  <c:v>28/09/2025</c:v>
                </c:pt>
                <c:pt idx="92">
                  <c:v>27/09/2025</c:v>
                </c:pt>
                <c:pt idx="93">
                  <c:v>26/09/2025</c:v>
                </c:pt>
                <c:pt idx="94">
                  <c:v>25/09/2025</c:v>
                </c:pt>
                <c:pt idx="95">
                  <c:v>24/09/2025</c:v>
                </c:pt>
                <c:pt idx="96">
                  <c:v>23/09/2025</c:v>
                </c:pt>
                <c:pt idx="97">
                  <c:v>22/09/2025</c:v>
                </c:pt>
                <c:pt idx="98">
                  <c:v>21/09/2025</c:v>
                </c:pt>
                <c:pt idx="99">
                  <c:v>20/09/2025</c:v>
                </c:pt>
                <c:pt idx="100">
                  <c:v>19/09/2025</c:v>
                </c:pt>
                <c:pt idx="101">
                  <c:v>18/09/2025</c:v>
                </c:pt>
                <c:pt idx="102">
                  <c:v>17/09/2025</c:v>
                </c:pt>
                <c:pt idx="103">
                  <c:v>16/09/2025</c:v>
                </c:pt>
                <c:pt idx="104">
                  <c:v>15/09/2025</c:v>
                </c:pt>
                <c:pt idx="105">
                  <c:v>14/09/2025</c:v>
                </c:pt>
                <c:pt idx="106">
                  <c:v>13/09/2025</c:v>
                </c:pt>
                <c:pt idx="107">
                  <c:v>12/09/2025</c:v>
                </c:pt>
                <c:pt idx="108">
                  <c:v>11/09/2025</c:v>
                </c:pt>
                <c:pt idx="109">
                  <c:v>10/09/2025</c:v>
                </c:pt>
                <c:pt idx="110">
                  <c:v>09/09/2025</c:v>
                </c:pt>
                <c:pt idx="111">
                  <c:v>08/09/2025</c:v>
                </c:pt>
                <c:pt idx="112">
                  <c:v>07/09/2025</c:v>
                </c:pt>
                <c:pt idx="113">
                  <c:v>06/09/2025</c:v>
                </c:pt>
                <c:pt idx="114">
                  <c:v>05/09/2025</c:v>
                </c:pt>
                <c:pt idx="115">
                  <c:v>04/09/2025</c:v>
                </c:pt>
                <c:pt idx="116">
                  <c:v>03/09/2025</c:v>
                </c:pt>
                <c:pt idx="117">
                  <c:v>02/09/2025</c:v>
                </c:pt>
                <c:pt idx="118">
                  <c:v>01/09/2025</c:v>
                </c:pt>
                <c:pt idx="119">
                  <c:v>31/08/2025</c:v>
                </c:pt>
                <c:pt idx="120">
                  <c:v>30/08/2025</c:v>
                </c:pt>
                <c:pt idx="121">
                  <c:v>29/08/2025</c:v>
                </c:pt>
                <c:pt idx="122">
                  <c:v>28/08/2025</c:v>
                </c:pt>
                <c:pt idx="123">
                  <c:v>27/08/2025</c:v>
                </c:pt>
                <c:pt idx="124">
                  <c:v>26/08/2025</c:v>
                </c:pt>
                <c:pt idx="125">
                  <c:v>25/08/2025</c:v>
                </c:pt>
                <c:pt idx="126">
                  <c:v>24/08/2025</c:v>
                </c:pt>
                <c:pt idx="127">
                  <c:v>23/08/2025</c:v>
                </c:pt>
                <c:pt idx="128">
                  <c:v>22/08/2025</c:v>
                </c:pt>
                <c:pt idx="129">
                  <c:v>21/08/2025</c:v>
                </c:pt>
                <c:pt idx="130">
                  <c:v>20/08/2025</c:v>
                </c:pt>
                <c:pt idx="131">
                  <c:v>19/08/2025</c:v>
                </c:pt>
                <c:pt idx="132">
                  <c:v>18/08/2025</c:v>
                </c:pt>
                <c:pt idx="133">
                  <c:v>17/08/2025</c:v>
                </c:pt>
                <c:pt idx="134">
                  <c:v>16/08/2025</c:v>
                </c:pt>
                <c:pt idx="135">
                  <c:v>15/08/2025</c:v>
                </c:pt>
                <c:pt idx="136">
                  <c:v>14/08/2025</c:v>
                </c:pt>
                <c:pt idx="137">
                  <c:v>13/08/2025</c:v>
                </c:pt>
                <c:pt idx="138">
                  <c:v>12/08/2025</c:v>
                </c:pt>
                <c:pt idx="139">
                  <c:v>11/08/2025</c:v>
                </c:pt>
                <c:pt idx="140">
                  <c:v>10/08/2025</c:v>
                </c:pt>
                <c:pt idx="141">
                  <c:v>09/08/2025</c:v>
                </c:pt>
                <c:pt idx="142">
                  <c:v>08/08/2025</c:v>
                </c:pt>
                <c:pt idx="143">
                  <c:v>07/08/2025</c:v>
                </c:pt>
                <c:pt idx="144">
                  <c:v>06/08/2025</c:v>
                </c:pt>
                <c:pt idx="145">
                  <c:v>05/08/2025</c:v>
                </c:pt>
                <c:pt idx="146">
                  <c:v>04/08/2025</c:v>
                </c:pt>
                <c:pt idx="147">
                  <c:v>03/08/2025</c:v>
                </c:pt>
                <c:pt idx="148">
                  <c:v>02/08/2025</c:v>
                </c:pt>
                <c:pt idx="149">
                  <c:v>01/08/2025</c:v>
                </c:pt>
                <c:pt idx="150">
                  <c:v>31/07/2025</c:v>
                </c:pt>
                <c:pt idx="151">
                  <c:v>30/07/2025</c:v>
                </c:pt>
                <c:pt idx="152">
                  <c:v>29/07/2025</c:v>
                </c:pt>
                <c:pt idx="153">
                  <c:v>28/07/2025</c:v>
                </c:pt>
                <c:pt idx="154">
                  <c:v>27/07/2025</c:v>
                </c:pt>
                <c:pt idx="155">
                  <c:v>26/07/2025</c:v>
                </c:pt>
                <c:pt idx="156">
                  <c:v>25/07/2025</c:v>
                </c:pt>
                <c:pt idx="157">
                  <c:v>24/07/2025</c:v>
                </c:pt>
                <c:pt idx="158">
                  <c:v>23/07/2025</c:v>
                </c:pt>
                <c:pt idx="159">
                  <c:v>22/07/2025</c:v>
                </c:pt>
                <c:pt idx="160">
                  <c:v>21/07/2025</c:v>
                </c:pt>
                <c:pt idx="161">
                  <c:v>20/07/2025</c:v>
                </c:pt>
                <c:pt idx="162">
                  <c:v>19/07/2025</c:v>
                </c:pt>
                <c:pt idx="163">
                  <c:v>18/07/2025</c:v>
                </c:pt>
                <c:pt idx="164">
                  <c:v>17/07/2025</c:v>
                </c:pt>
                <c:pt idx="165">
                  <c:v>16/07/2025</c:v>
                </c:pt>
                <c:pt idx="166">
                  <c:v>15/07/2025</c:v>
                </c:pt>
                <c:pt idx="167">
                  <c:v>14/07/2025</c:v>
                </c:pt>
                <c:pt idx="168">
                  <c:v>13/07/2025</c:v>
                </c:pt>
                <c:pt idx="169">
                  <c:v>12/07/2025</c:v>
                </c:pt>
                <c:pt idx="170">
                  <c:v>11/07/2025</c:v>
                </c:pt>
                <c:pt idx="171">
                  <c:v>10/07/2025</c:v>
                </c:pt>
                <c:pt idx="172">
                  <c:v>09/07/2025</c:v>
                </c:pt>
                <c:pt idx="173">
                  <c:v>08/07/2025</c:v>
                </c:pt>
                <c:pt idx="174">
                  <c:v>07/07/2025</c:v>
                </c:pt>
                <c:pt idx="175">
                  <c:v>06/07/2025</c:v>
                </c:pt>
                <c:pt idx="176">
                  <c:v>05/07/2025</c:v>
                </c:pt>
                <c:pt idx="177">
                  <c:v>04/07/2025</c:v>
                </c:pt>
                <c:pt idx="178">
                  <c:v>03/07/2025</c:v>
                </c:pt>
                <c:pt idx="179">
                  <c:v>02/07/2025</c:v>
                </c:pt>
                <c:pt idx="180">
                  <c:v>01/07/2025</c:v>
                </c:pt>
                <c:pt idx="181">
                  <c:v>30/06/2025</c:v>
                </c:pt>
                <c:pt idx="182">
                  <c:v>29/06/2025</c:v>
                </c:pt>
                <c:pt idx="183">
                  <c:v>28/06/2025</c:v>
                </c:pt>
                <c:pt idx="184">
                  <c:v>27/06/2025</c:v>
                </c:pt>
                <c:pt idx="185">
                  <c:v>26/06/2025</c:v>
                </c:pt>
                <c:pt idx="186">
                  <c:v>25/06/2025</c:v>
                </c:pt>
                <c:pt idx="187">
                  <c:v>24/06/2025</c:v>
                </c:pt>
                <c:pt idx="188">
                  <c:v>23/06/2025</c:v>
                </c:pt>
                <c:pt idx="189">
                  <c:v>22/06/2025</c:v>
                </c:pt>
                <c:pt idx="190">
                  <c:v>21/06/2025</c:v>
                </c:pt>
                <c:pt idx="191">
                  <c:v>20/06/2025</c:v>
                </c:pt>
                <c:pt idx="192">
                  <c:v>19/06/2025</c:v>
                </c:pt>
                <c:pt idx="193">
                  <c:v>18/06/2025</c:v>
                </c:pt>
                <c:pt idx="194">
                  <c:v>17/06/2025</c:v>
                </c:pt>
                <c:pt idx="195">
                  <c:v>16/06/2025</c:v>
                </c:pt>
                <c:pt idx="196">
                  <c:v>15/06/2025</c:v>
                </c:pt>
                <c:pt idx="197">
                  <c:v>14/06/2025</c:v>
                </c:pt>
                <c:pt idx="198">
                  <c:v>13/06/2025</c:v>
                </c:pt>
                <c:pt idx="199">
                  <c:v>12/06/2025</c:v>
                </c:pt>
                <c:pt idx="200">
                  <c:v>11/06/2025</c:v>
                </c:pt>
                <c:pt idx="201">
                  <c:v>10/06/2025</c:v>
                </c:pt>
                <c:pt idx="202">
                  <c:v>09/06/2025</c:v>
                </c:pt>
                <c:pt idx="203">
                  <c:v>08/06/2025</c:v>
                </c:pt>
                <c:pt idx="204">
                  <c:v>07/06/2025</c:v>
                </c:pt>
                <c:pt idx="205">
                  <c:v>06/06/2025</c:v>
                </c:pt>
                <c:pt idx="206">
                  <c:v>05/06/2025</c:v>
                </c:pt>
                <c:pt idx="207">
                  <c:v>04/06/2025</c:v>
                </c:pt>
                <c:pt idx="208">
                  <c:v>03/06/2025</c:v>
                </c:pt>
                <c:pt idx="209">
                  <c:v>02/06/2025</c:v>
                </c:pt>
                <c:pt idx="210">
                  <c:v>01/06/2025</c:v>
                </c:pt>
                <c:pt idx="211">
                  <c:v>31/05/2025</c:v>
                </c:pt>
                <c:pt idx="212">
                  <c:v>30/05/2025</c:v>
                </c:pt>
                <c:pt idx="213">
                  <c:v>29/05/2025</c:v>
                </c:pt>
                <c:pt idx="214">
                  <c:v>28/05/2025</c:v>
                </c:pt>
                <c:pt idx="215">
                  <c:v>27/05/2025</c:v>
                </c:pt>
                <c:pt idx="216">
                  <c:v>26/05/2025</c:v>
                </c:pt>
                <c:pt idx="217">
                  <c:v>25/05/2025</c:v>
                </c:pt>
                <c:pt idx="218">
                  <c:v>24/05/2025</c:v>
                </c:pt>
                <c:pt idx="219">
                  <c:v>23/05/2025</c:v>
                </c:pt>
                <c:pt idx="220">
                  <c:v>22/05/2025</c:v>
                </c:pt>
                <c:pt idx="221">
                  <c:v>21/05/2025</c:v>
                </c:pt>
                <c:pt idx="222">
                  <c:v>20/05/2025</c:v>
                </c:pt>
                <c:pt idx="223">
                  <c:v>19/05/2025</c:v>
                </c:pt>
                <c:pt idx="224">
                  <c:v>18/05/2025</c:v>
                </c:pt>
                <c:pt idx="225">
                  <c:v>17/05/2025</c:v>
                </c:pt>
                <c:pt idx="226">
                  <c:v>16/05/2025</c:v>
                </c:pt>
                <c:pt idx="227">
                  <c:v>15/05/2025</c:v>
                </c:pt>
                <c:pt idx="228">
                  <c:v>14/05/2025</c:v>
                </c:pt>
                <c:pt idx="229">
                  <c:v>13/05/2025</c:v>
                </c:pt>
                <c:pt idx="230">
                  <c:v>12/05/2025</c:v>
                </c:pt>
                <c:pt idx="231">
                  <c:v>11/05/2025</c:v>
                </c:pt>
                <c:pt idx="232">
                  <c:v>10/05/2025</c:v>
                </c:pt>
                <c:pt idx="233">
                  <c:v>09/05/2025</c:v>
                </c:pt>
                <c:pt idx="234">
                  <c:v>08/05/2025</c:v>
                </c:pt>
                <c:pt idx="235">
                  <c:v>07/05/2025</c:v>
                </c:pt>
                <c:pt idx="236">
                  <c:v>06/05/2025</c:v>
                </c:pt>
                <c:pt idx="237">
                  <c:v>05/05/2025</c:v>
                </c:pt>
                <c:pt idx="238">
                  <c:v>04/05/2025</c:v>
                </c:pt>
                <c:pt idx="239">
                  <c:v>03/05/2025</c:v>
                </c:pt>
                <c:pt idx="240">
                  <c:v>02/05/2025</c:v>
                </c:pt>
                <c:pt idx="241">
                  <c:v>01/05/2025</c:v>
                </c:pt>
                <c:pt idx="242">
                  <c:v>30/04/2025</c:v>
                </c:pt>
                <c:pt idx="243">
                  <c:v>29/04/2025</c:v>
                </c:pt>
                <c:pt idx="244">
                  <c:v>28/04/2025</c:v>
                </c:pt>
                <c:pt idx="245">
                  <c:v>27/04/2025</c:v>
                </c:pt>
                <c:pt idx="246">
                  <c:v>26/04/2025</c:v>
                </c:pt>
                <c:pt idx="247">
                  <c:v>25/04/2025</c:v>
                </c:pt>
                <c:pt idx="248">
                  <c:v>24/04/2025</c:v>
                </c:pt>
                <c:pt idx="249">
                  <c:v>23/04/2025</c:v>
                </c:pt>
                <c:pt idx="250">
                  <c:v>22/04/2025</c:v>
                </c:pt>
                <c:pt idx="251">
                  <c:v>21/04/2025</c:v>
                </c:pt>
                <c:pt idx="252">
                  <c:v>20/04/2025</c:v>
                </c:pt>
                <c:pt idx="253">
                  <c:v>19/04/2025</c:v>
                </c:pt>
                <c:pt idx="254">
                  <c:v>18/04/2025</c:v>
                </c:pt>
                <c:pt idx="255">
                  <c:v>17/04/2025</c:v>
                </c:pt>
                <c:pt idx="256">
                  <c:v>16/04/2025</c:v>
                </c:pt>
                <c:pt idx="257">
                  <c:v>15/04/2025</c:v>
                </c:pt>
                <c:pt idx="258">
                  <c:v>14/04/2025</c:v>
                </c:pt>
                <c:pt idx="259">
                  <c:v>13/04/2025</c:v>
                </c:pt>
                <c:pt idx="260">
                  <c:v>12/04/2025</c:v>
                </c:pt>
                <c:pt idx="261">
                  <c:v>11/04/2025</c:v>
                </c:pt>
                <c:pt idx="262">
                  <c:v>10/04/2025</c:v>
                </c:pt>
                <c:pt idx="263">
                  <c:v>09/04/2025</c:v>
                </c:pt>
                <c:pt idx="264">
                  <c:v>08/04/2025</c:v>
                </c:pt>
                <c:pt idx="265">
                  <c:v>07/04/2025</c:v>
                </c:pt>
                <c:pt idx="266">
                  <c:v>06/04/2025</c:v>
                </c:pt>
                <c:pt idx="267">
                  <c:v>05/04/2025</c:v>
                </c:pt>
                <c:pt idx="268">
                  <c:v>04/04/2025</c:v>
                </c:pt>
                <c:pt idx="269">
                  <c:v>03/04/2025</c:v>
                </c:pt>
                <c:pt idx="270">
                  <c:v>02/04/2025</c:v>
                </c:pt>
                <c:pt idx="271">
                  <c:v>01/04/2025</c:v>
                </c:pt>
                <c:pt idx="272">
                  <c:v>31/03/2025</c:v>
                </c:pt>
                <c:pt idx="273">
                  <c:v>30/03/2025</c:v>
                </c:pt>
                <c:pt idx="274">
                  <c:v>29/03/2025</c:v>
                </c:pt>
                <c:pt idx="275">
                  <c:v>28/03/2025</c:v>
                </c:pt>
                <c:pt idx="276">
                  <c:v>27/03/2025</c:v>
                </c:pt>
                <c:pt idx="277">
                  <c:v>26/03/2025</c:v>
                </c:pt>
                <c:pt idx="278">
                  <c:v>25/03/2025</c:v>
                </c:pt>
                <c:pt idx="279">
                  <c:v>24/03/2025</c:v>
                </c:pt>
                <c:pt idx="280">
                  <c:v>23/03/2025</c:v>
                </c:pt>
                <c:pt idx="281">
                  <c:v>22/03/2025</c:v>
                </c:pt>
                <c:pt idx="282">
                  <c:v>21/03/2025</c:v>
                </c:pt>
                <c:pt idx="283">
                  <c:v>20/03/2025</c:v>
                </c:pt>
                <c:pt idx="284">
                  <c:v>19/03/2025</c:v>
                </c:pt>
                <c:pt idx="285">
                  <c:v>18/03/2025</c:v>
                </c:pt>
                <c:pt idx="286">
                  <c:v>17/03/2025</c:v>
                </c:pt>
                <c:pt idx="287">
                  <c:v>16/03/2025</c:v>
                </c:pt>
                <c:pt idx="288">
                  <c:v>15/03/2025</c:v>
                </c:pt>
                <c:pt idx="289">
                  <c:v>14/03/2025</c:v>
                </c:pt>
                <c:pt idx="290">
                  <c:v>13/03/2025</c:v>
                </c:pt>
                <c:pt idx="291">
                  <c:v>12/03/2025</c:v>
                </c:pt>
                <c:pt idx="292">
                  <c:v>11/03/2025</c:v>
                </c:pt>
                <c:pt idx="293">
                  <c:v>10/03/2025</c:v>
                </c:pt>
                <c:pt idx="294">
                  <c:v>09/03/2025</c:v>
                </c:pt>
                <c:pt idx="295">
                  <c:v>08/03/2025</c:v>
                </c:pt>
                <c:pt idx="296">
                  <c:v>07/03/2025</c:v>
                </c:pt>
                <c:pt idx="297">
                  <c:v>06/03/2025</c:v>
                </c:pt>
                <c:pt idx="298">
                  <c:v>05/03/2025</c:v>
                </c:pt>
                <c:pt idx="299">
                  <c:v>04/03/2025</c:v>
                </c:pt>
                <c:pt idx="300">
                  <c:v>03/03/2025</c:v>
                </c:pt>
                <c:pt idx="301">
                  <c:v>02/03/2025</c:v>
                </c:pt>
                <c:pt idx="302">
                  <c:v>01/03/2025</c:v>
                </c:pt>
                <c:pt idx="303">
                  <c:v>28/02/2025</c:v>
                </c:pt>
                <c:pt idx="304">
                  <c:v>27/02/2025</c:v>
                </c:pt>
                <c:pt idx="305">
                  <c:v>26/02/2025</c:v>
                </c:pt>
                <c:pt idx="306">
                  <c:v>25/02/2025</c:v>
                </c:pt>
                <c:pt idx="307">
                  <c:v>24/02/2025</c:v>
                </c:pt>
                <c:pt idx="308">
                  <c:v>22/02/2025</c:v>
                </c:pt>
                <c:pt idx="309">
                  <c:v>21/02/2025</c:v>
                </c:pt>
                <c:pt idx="310">
                  <c:v>20/02/2025</c:v>
                </c:pt>
                <c:pt idx="311">
                  <c:v>19/02/2025</c:v>
                </c:pt>
                <c:pt idx="312">
                  <c:v>18/02/2025</c:v>
                </c:pt>
                <c:pt idx="313">
                  <c:v>17/02/2025</c:v>
                </c:pt>
                <c:pt idx="314">
                  <c:v>16/02/2025</c:v>
                </c:pt>
                <c:pt idx="315">
                  <c:v>14/02/2025</c:v>
                </c:pt>
                <c:pt idx="316">
                  <c:v>13/02/2025</c:v>
                </c:pt>
                <c:pt idx="317">
                  <c:v>12/02/2025</c:v>
                </c:pt>
                <c:pt idx="318">
                  <c:v>11/02/2025</c:v>
                </c:pt>
                <c:pt idx="319">
                  <c:v>10/02/2025</c:v>
                </c:pt>
                <c:pt idx="320">
                  <c:v>09/02/2025</c:v>
                </c:pt>
                <c:pt idx="321">
                  <c:v>08/02/2025</c:v>
                </c:pt>
                <c:pt idx="322">
                  <c:v>07/02/2025</c:v>
                </c:pt>
                <c:pt idx="323">
                  <c:v>06/02/2025</c:v>
                </c:pt>
                <c:pt idx="324">
                  <c:v>05/02/2025</c:v>
                </c:pt>
                <c:pt idx="325">
                  <c:v>04/02/2025</c:v>
                </c:pt>
                <c:pt idx="326">
                  <c:v>03/02/2025</c:v>
                </c:pt>
                <c:pt idx="327">
                  <c:v>02/02/2025</c:v>
                </c:pt>
                <c:pt idx="328">
                  <c:v>31/01/2025</c:v>
                </c:pt>
                <c:pt idx="329">
                  <c:v>30/01/2025</c:v>
                </c:pt>
                <c:pt idx="330">
                  <c:v>29/01/2025</c:v>
                </c:pt>
                <c:pt idx="331">
                  <c:v>28/01/2025</c:v>
                </c:pt>
                <c:pt idx="332">
                  <c:v>27/01/2025</c:v>
                </c:pt>
                <c:pt idx="333">
                  <c:v>26/01/2025</c:v>
                </c:pt>
                <c:pt idx="334">
                  <c:v>25/01/2025</c:v>
                </c:pt>
                <c:pt idx="335">
                  <c:v>24/01/2025</c:v>
                </c:pt>
                <c:pt idx="336">
                  <c:v>23/01/2025</c:v>
                </c:pt>
                <c:pt idx="337">
                  <c:v>22/01/2025</c:v>
                </c:pt>
                <c:pt idx="338">
                  <c:v>21/01/2025</c:v>
                </c:pt>
                <c:pt idx="339">
                  <c:v>20/01/2025</c:v>
                </c:pt>
                <c:pt idx="340">
                  <c:v>19/01/2025</c:v>
                </c:pt>
                <c:pt idx="341">
                  <c:v>18/01/2025</c:v>
                </c:pt>
                <c:pt idx="342">
                  <c:v>17/01/2025</c:v>
                </c:pt>
                <c:pt idx="343">
                  <c:v>16/01/2025</c:v>
                </c:pt>
                <c:pt idx="344">
                  <c:v>15/01/2025</c:v>
                </c:pt>
                <c:pt idx="345">
                  <c:v>14/01/2025</c:v>
                </c:pt>
                <c:pt idx="346">
                  <c:v>13/01/2025</c:v>
                </c:pt>
                <c:pt idx="347">
                  <c:v>12/01/2025</c:v>
                </c:pt>
                <c:pt idx="348">
                  <c:v>11/01/2025</c:v>
                </c:pt>
                <c:pt idx="349">
                  <c:v>10/01/2025</c:v>
                </c:pt>
                <c:pt idx="350">
                  <c:v>09/01/2025</c:v>
                </c:pt>
                <c:pt idx="351">
                  <c:v>08/01/2025</c:v>
                </c:pt>
                <c:pt idx="352">
                  <c:v>07/01/2025</c:v>
                </c:pt>
                <c:pt idx="353">
                  <c:v>06/01/2025</c:v>
                </c:pt>
                <c:pt idx="354">
                  <c:v>05/01/2025</c:v>
                </c:pt>
                <c:pt idx="355">
                  <c:v>04/01/2025</c:v>
                </c:pt>
                <c:pt idx="356">
                  <c:v>03/01/2025</c:v>
                </c:pt>
                <c:pt idx="357">
                  <c:v>02/01/2025</c:v>
                </c:pt>
                <c:pt idx="358">
                  <c:v>01/01/2025</c:v>
                </c:pt>
                <c:pt idx="359">
                  <c:v>31/12/2024</c:v>
                </c:pt>
                <c:pt idx="360">
                  <c:v>30/12/2024</c:v>
                </c:pt>
              </c:strCache>
            </c:strRef>
          </c:cat>
          <c:val>
            <c:numRef>
              <c:f>'Present Values'!$C$8:$C$368</c:f>
              <c:numCache>
                <c:formatCode>_([$€-2]\ * #\ ##0_);_([$€-2]\ * \(#\ ##0\);_([$€-2]\ * "-"??_);_(@_)</c:formatCode>
                <c:ptCount val="361"/>
                <c:pt idx="1">
                  <c:v>0</c:v>
                </c:pt>
                <c:pt idx="2" formatCode="_([$$-409]* #\ ##0.00_);_([$$-409]* \(#\ ##0.00\);_([$$-409]* &quot;-&quot;??_);_(@_)">
                  <c:v>87996.27</c:v>
                </c:pt>
                <c:pt idx="3" formatCode="_([$$-409]* #\ ##0.00_);_([$$-409]* \(#\ ##0.00\);_([$$-409]* &quot;-&quot;??_);_(@_)">
                  <c:v>87666.64</c:v>
                </c:pt>
                <c:pt idx="4" formatCode="_([$$-409]* #\ ##0.00_);_([$$-409]* \(#\ ##0.00\);_([$$-409]* &quot;-&quot;??_);_(@_)">
                  <c:v>89448.41</c:v>
                </c:pt>
                <c:pt idx="5" formatCode="_([$$-409]* #\ ##0.00_);_([$$-409]* \(#\ ##0.00\);_([$$-409]* &quot;-&quot;??_);_(@_)">
                  <c:v>88500.51</c:v>
                </c:pt>
                <c:pt idx="6" formatCode="_([$$-409]* #\ ##0.00_);_([$$-409]* \(#\ ##0.00\);_([$$-409]* &quot;-&quot;??_);_(@_)">
                  <c:v>87777.7</c:v>
                </c:pt>
                <c:pt idx="7" formatCode="_([$$-409]* #\ ##0.00_);_([$$-409]* \(#\ ##0.00\);_([$$-409]* &quot;-&quot;??_);_(@_)">
                  <c:v>88890.1</c:v>
                </c:pt>
                <c:pt idx="8" formatCode="_([$$-409]* #\ ##0.00_);_([$$-409]* \(#\ ##0.00\);_([$$-409]* &quot;-&quot;??_);_(@_)">
                  <c:v>90466.19</c:v>
                </c:pt>
                <c:pt idx="9" formatCode="_([$$-409]* #\ ##0.00_);_([$$-409]* \(#\ ##0.00\);_([$$-409]* &quot;-&quot;??_);_(@_)">
                  <c:v>89032.44</c:v>
                </c:pt>
                <c:pt idx="10" formatCode="_([$$-409]* #\ ##0.00_);_([$$-409]* \(#\ ##0.00\);_([$$-409]* &quot;-&quot;??_);_(@_)">
                  <c:v>88530.38</c:v>
                </c:pt>
                <c:pt idx="11" formatCode="_([$$-409]* #\ ##0.00_);_([$$-409]* \(#\ ##0.00\);_([$$-409]* &quot;-&quot;??_);_(@_)">
                  <c:v>89336.45</c:v>
                </c:pt>
                <c:pt idx="12" formatCode="_([$$-409]* #\ ##0.00_);_([$$-409]* \(#\ ##0.00\);_([$$-409]* &quot;-&quot;??_);_(@_)">
                  <c:v>89350.83</c:v>
                </c:pt>
                <c:pt idx="13" formatCode="_([$$-409]* #\ ##0.00_);_([$$-409]* \(#\ ##0.00\);_([$$-409]* &quot;-&quot;??_);_(@_)">
                  <c:v>90313.9</c:v>
                </c:pt>
                <c:pt idx="14" formatCode="_([$$-409]* #\ ##0.00_);_([$$-409]* \(#\ ##0.00\);_([$$-409]* &quot;-&quot;??_);_(@_)">
                  <c:v>88156.17</c:v>
                </c:pt>
                <c:pt idx="15" formatCode="_([$$-409]* #\ ##0.00_);_([$$-409]* \(#\ ##0.00\);_([$$-409]* &quot;-&quot;??_);_(@_)">
                  <c:v>89983.28</c:v>
                </c:pt>
                <c:pt idx="16" formatCode="_([$$-409]* #\ ##0.00_);_([$$-409]* \(#\ ##0.00\);_([$$-409]* &quot;-&quot;??_);_(@_)">
                  <c:v>90482.65</c:v>
                </c:pt>
                <c:pt idx="17" formatCode="_([$$-409]* #\ ##0.00_);_([$$-409]* \(#\ ##0.00\);_([$$-409]* &quot;-&quot;??_);_(@_)">
                  <c:v>90641.07</c:v>
                </c:pt>
                <c:pt idx="18" formatCode="_([$$-409]* #\ ##0.00_);_([$$-409]* \(#\ ##0.00\);_([$$-409]* &quot;-&quot;??_);_(@_)">
                  <c:v>93166.97</c:v>
                </c:pt>
                <c:pt idx="19" formatCode="_([$$-409]* #\ ##0.00_);_([$$-409]* \(#\ ##0.00\);_([$$-409]* &quot;-&quot;??_);_(@_)">
                  <c:v>93556.59</c:v>
                </c:pt>
                <c:pt idx="20" formatCode="_([$$-409]* #\ ##0.00_);_([$$-409]* \(#\ ##0.00\);_([$$-409]* &quot;-&quot;??_);_(@_)">
                  <c:v>94482.7</c:v>
                </c:pt>
                <c:pt idx="21" formatCode="_([$$-409]* #\ ##0.00_);_([$$-409]* \(#\ ##0.00\);_([$$-409]* &quot;-&quot;??_);_(@_)">
                  <c:v>94621.49</c:v>
                </c:pt>
                <c:pt idx="22" formatCode="_([$$-409]* #\ ##0.00_);_([$$-409]* \(#\ ##0.00\);_([$$-409]* &quot;-&quot;??_);_(@_)">
                  <c:v>92270.28</c:v>
                </c:pt>
                <c:pt idx="23" formatCode="_([$$-409]* #\ ##0.00_);_([$$-409]* \(#\ ##0.00\);_([$$-409]* &quot;-&quot;??_);_(@_)">
                  <c:v>91735.94</c:v>
                </c:pt>
                <c:pt idx="24" formatCode="_([$$-409]* #\ ##0.00_);_([$$-409]* \(#\ ##0.00\);_([$$-409]* &quot;-&quot;??_);_(@_)">
                  <c:v>90193.63</c:v>
                </c:pt>
                <c:pt idx="25" formatCode="_([$$-409]* #\ ##0.00_);_([$$-409]* \(#\ ##0.00\);_([$$-409]* &quot;-&quot;??_);_(@_)">
                  <c:v>92699.199999999997</c:v>
                </c:pt>
                <c:pt idx="26" formatCode="_([$$-409]* #\ ##0.00_);_([$$-409]* \(#\ ##0.00\);_([$$-409]* &quot;-&quot;??_);_(@_)">
                  <c:v>94082.47</c:v>
                </c:pt>
                <c:pt idx="27" formatCode="_([$$-409]* #\ ##0.00_);_([$$-409]* \(#\ ##0.00\);_([$$-409]* &quot;-&quot;??_);_(@_)">
                  <c:v>93965.64</c:v>
                </c:pt>
                <c:pt idx="28" formatCode="_([$$-409]* #\ ##0.00_);_([$$-409]* \(#\ ##0.00\);_([$$-409]* &quot;-&quot;??_);_(@_)">
                  <c:v>92321.34</c:v>
                </c:pt>
                <c:pt idx="29" formatCode="_([$$-409]* #\ ##0.00_);_([$$-409]* \(#\ ##0.00\);_([$$-409]* &quot;-&quot;??_);_(@_)">
                  <c:v>91330.93</c:v>
                </c:pt>
                <c:pt idx="30" formatCode="_([$$-409]* #\ ##0.00_);_([$$-409]* \(#\ ##0.00\);_([$$-409]* &quot;-&quot;??_);_(@_)">
                  <c:v>91949.35</c:v>
                </c:pt>
                <c:pt idx="31" formatCode="_([$$-409]* #\ ##0.00_);_([$$-409]* \(#\ ##0.00\);_([$$-409]* &quot;-&quot;??_);_(@_)">
                  <c:v>91212.32</c:v>
                </c:pt>
                <c:pt idx="32" formatCode="_([$$-409]* #\ ##0.00_);_([$$-409]* \(#\ ##0.00\);_([$$-409]* &quot;-&quot;??_);_(@_)">
                  <c:v>92965.45</c:v>
                </c:pt>
                <c:pt idx="33" formatCode="_([$$-409]* #\ ##0.00_);_([$$-409]* \(#\ ##0.00\);_([$$-409]* &quot;-&quot;??_);_(@_)">
                  <c:v>91887.5</c:v>
                </c:pt>
                <c:pt idx="34" formatCode="_([$$-409]* #\ ##0.00_);_([$$-409]* \(#\ ##0.00\);_([$$-409]* &quot;-&quot;??_);_(@_)">
                  <c:v>90386.27</c:v>
                </c:pt>
                <c:pt idx="35" formatCode="_([$$-409]* #\ ##0.00_);_([$$-409]* \(#\ ##0.00\);_([$$-409]* &quot;-&quot;??_);_(@_)">
                  <c:v>89082.27</c:v>
                </c:pt>
                <c:pt idx="36" formatCode="_([$$-409]* #\ ##0.00_);_([$$-409]* \(#\ ##0.00\);_([$$-409]* &quot;-&quot;??_);_(@_)">
                  <c:v>89214.95</c:v>
                </c:pt>
                <c:pt idx="37" formatCode="_([$$-409]* #\ ##0.00_);_([$$-409]* \(#\ ##0.00\);_([$$-409]* &quot;-&quot;??_);_(@_)">
                  <c:v>88001.600000000006</c:v>
                </c:pt>
                <c:pt idx="38" formatCode="_([$$-409]* #\ ##0.00_);_([$$-409]* \(#\ ##0.00\);_([$$-409]* &quot;-&quot;??_);_(@_)">
                  <c:v>85570.25</c:v>
                </c:pt>
                <c:pt idx="39" formatCode="_([$$-409]* #\ ##0.00_);_([$$-409]* \(#\ ##0.00\);_([$$-409]* &quot;-&quot;??_);_(@_)">
                  <c:v>88164.88</c:v>
                </c:pt>
                <c:pt idx="40" formatCode="_([$$-409]* #\ ##0.00_);_([$$-409]* \(#\ ##0.00\);_([$$-409]* &quot;-&quot;??_);_(@_)">
                  <c:v>93061.91</c:v>
                </c:pt>
                <c:pt idx="41" formatCode="_([$$-409]* #\ ##0.00_);_([$$-409]* \(#\ ##0.00\);_([$$-409]* &quot;-&quot;??_);_(@_)">
                  <c:v>93385.24</c:v>
                </c:pt>
                <c:pt idx="42" formatCode="_([$$-409]* #\ ##0.00_);_([$$-409]* \(#\ ##0.00\);_([$$-409]* &quot;-&quot;??_);_(@_)">
                  <c:v>93786.43</c:v>
                </c:pt>
                <c:pt idx="43" formatCode="_([$$-409]* #\ ##0.00_);_([$$-409]* \(#\ ##0.00\);_([$$-409]* &quot;-&quot;??_);_(@_)">
                  <c:v>95954.49</c:v>
                </c:pt>
                <c:pt idx="44" formatCode="_([$$-409]* #\ ##0.00_);_([$$-409]* \(#\ ##0.00\);_([$$-409]* &quot;-&quot;??_);_(@_)">
                  <c:v>96560.13</c:v>
                </c:pt>
                <c:pt idx="45" formatCode="_([$$-409]* #\ ##0.00_);_([$$-409]* \(#\ ##0.00\);_([$$-409]* &quot;-&quot;??_);_(@_)">
                  <c:v>96758.93</c:v>
                </c:pt>
                <c:pt idx="46" formatCode="_([$$-409]* #\ ##0.00_);_([$$-409]* \(#\ ##0.00\);_([$$-409]* &quot;-&quot;??_);_(@_)">
                  <c:v>100432.88</c:v>
                </c:pt>
                <c:pt idx="47" formatCode="_([$$-409]* #\ ##0.00_);_([$$-409]* \(#\ ##0.00\);_([$$-409]* &quot;-&quot;??_);_(@_)">
                  <c:v>104002.33</c:v>
                </c:pt>
                <c:pt idx="48" formatCode="_([$$-409]* #\ ##0.00_);_([$$-409]* \(#\ ##0.00\);_([$$-409]* &quot;-&quot;??_);_(@_)">
                  <c:v>105294.2</c:v>
                </c:pt>
                <c:pt idx="49" formatCode="_([$$-409]* #\ ##0.00_);_([$$-409]* \(#\ ##0.00\);_([$$-409]* &quot;-&quot;??_);_(@_)">
                  <c:v>107454.99</c:v>
                </c:pt>
                <c:pt idx="50" formatCode="_([$$-409]* #\ ##0.00_);_([$$-409]* \(#\ ##0.00\);_([$$-409]* &quot;-&quot;??_);_(@_)">
                  <c:v>106614.9</c:v>
                </c:pt>
                <c:pt idx="51" formatCode="_([$$-409]* #\ ##0.00_);_([$$-409]* \(#\ ##0.00\);_([$$-409]* &quot;-&quot;??_);_(@_)">
                  <c:v>105000.31</c:v>
                </c:pt>
                <c:pt idx="52" formatCode="_([$$-409]* #\ ##0.00_);_([$$-409]* \(#\ ##0.00\);_([$$-409]* &quot;-&quot;??_);_(@_)">
                  <c:v>104029.75999999999</c:v>
                </c:pt>
                <c:pt idx="53" formatCode="_([$$-409]* #\ ##0.00_);_([$$-409]* \(#\ ##0.00\);_([$$-409]* &quot;-&quot;??_);_(@_)">
                  <c:v>103857.01</c:v>
                </c:pt>
                <c:pt idx="54" formatCode="_([$$-409]* #\ ##0.00_);_([$$-409]* \(#\ ##0.00\);_([$$-409]* &quot;-&quot;??_);_(@_)">
                  <c:v>104165.87</c:v>
                </c:pt>
                <c:pt idx="55" formatCode="_([$$-409]* #\ ##0.00_);_([$$-409]* \(#\ ##0.00\);_([$$-409]* &quot;-&quot;??_);_(@_)">
                  <c:v>104524.68</c:v>
                </c:pt>
                <c:pt idx="56" formatCode="_([$$-409]* #\ ##0.00_);_([$$-409]* \(#\ ##0.00\);_([$$-409]* &quot;-&quot;??_);_(@_)">
                  <c:v>107289.83</c:v>
                </c:pt>
                <c:pt idx="57" formatCode="_([$$-409]* #\ ##0.00_);_([$$-409]* \(#\ ##0.00\);_([$$-409]* &quot;-&quot;??_);_(@_)">
                  <c:v>110730.91</c:v>
                </c:pt>
                <c:pt idx="58" formatCode="_([$$-409]* #\ ##0.00_);_([$$-409]* \(#\ ##0.00\);_([$$-409]* &quot;-&quot;??_);_(@_)">
                  <c:v>111180.54</c:v>
                </c:pt>
                <c:pt idx="59" formatCode="_([$$-409]* #\ ##0.00_);_([$$-409]* \(#\ ##0.00\);_([$$-409]* &quot;-&quot;??_);_(@_)">
                  <c:v>111110.56</c:v>
                </c:pt>
                <c:pt idx="60" formatCode="_([$$-409]* #\ ##0.00_);_([$$-409]* \(#\ ##0.00\);_([$$-409]* &quot;-&quot;??_);_(@_)">
                  <c:v>111832.05</c:v>
                </c:pt>
                <c:pt idx="61" formatCode="_([$$-409]* #\ ##0.00_);_([$$-409]* \(#\ ##0.00\);_([$$-409]* &quot;-&quot;??_);_(@_)">
                  <c:v>113662.84</c:v>
                </c:pt>
                <c:pt idx="62" formatCode="_([$$-409]* #\ ##0.00_);_([$$-409]* \(#\ ##0.00\);_([$$-409]* &quot;-&quot;??_);_(@_)">
                  <c:v>116061.89</c:v>
                </c:pt>
                <c:pt idx="63" formatCode="_([$$-409]* #\ ##0.00_);_([$$-409]* \(#\ ##0.00\);_([$$-409]* &quot;-&quot;??_);_(@_)">
                  <c:v>116272.47</c:v>
                </c:pt>
                <c:pt idx="64" formatCode="_([$$-409]* #\ ##0.00_);_([$$-409]* \(#\ ##0.00\);_([$$-409]* &quot;-&quot;??_);_(@_)">
                  <c:v>113966.42</c:v>
                </c:pt>
                <c:pt idx="65" formatCode="_([$$-409]* #\ ##0.00_);_([$$-409]* \(#\ ##0.00\);_([$$-409]* &quot;-&quot;??_);_(@_)">
                  <c:v>111934.5</c:v>
                </c:pt>
                <c:pt idx="66" formatCode="_([$$-409]* #\ ##0.00_);_([$$-409]* \(#\ ##0.00\);_([$$-409]* &quot;-&quot;??_);_(@_)">
                  <c:v>111992.42</c:v>
                </c:pt>
                <c:pt idx="67" formatCode="_([$$-409]* #\ ##0.00_);_([$$-409]* \(#\ ##0.00\);_([$$-409]* &quot;-&quot;??_);_(@_)">
                  <c:v>111310.2</c:v>
                </c:pt>
                <c:pt idx="68" formatCode="_([$$-409]* #\ ##0.00_);_([$$-409]* \(#\ ##0.00\);_([$$-409]* &quot;-&quot;??_);_(@_)">
                  <c:v>111161.92</c:v>
                </c:pt>
                <c:pt idx="69" formatCode="_([$$-409]* #\ ##0.00_);_([$$-409]* \(#\ ##0.00\);_([$$-409]* &quot;-&quot;??_);_(@_)">
                  <c:v>114088.76</c:v>
                </c:pt>
                <c:pt idx="70" formatCode="_([$$-409]* #\ ##0.00_);_([$$-409]* \(#\ ##0.00\);_([$$-409]* &quot;-&quot;??_);_(@_)">
                  <c:v>111771.78</c:v>
                </c:pt>
                <c:pt idx="71" formatCode="_([$$-409]* #\ ##0.00_);_([$$-409]* \(#\ ##0.00\);_([$$-409]* &quot;-&quot;??_);_(@_)">
                  <c:v>107540.15</c:v>
                </c:pt>
                <c:pt idx="72" formatCode="_([$$-409]* #\ ##0.00_);_([$$-409]* \(#\ ##0.00\);_([$$-409]* &quot;-&quot;??_);_(@_)">
                  <c:v>109275.7</c:v>
                </c:pt>
                <c:pt idx="73" formatCode="_([$$-409]* #\ ##0.00_);_([$$-409]* \(#\ ##0.00\);_([$$-409]* &quot;-&quot;??_);_(@_)">
                  <c:v>112013.4</c:v>
                </c:pt>
                <c:pt idx="74" formatCode="_([$$-409]* #\ ##0.00_);_([$$-409]* \(#\ ##0.00\);_([$$-409]* &quot;-&quot;??_);_(@_)">
                  <c:v>113668.33</c:v>
                </c:pt>
                <c:pt idx="75" formatCode="_([$$-409]* #\ ##0.00_);_([$$-409]* \(#\ ##0.00\);_([$$-409]* &quot;-&quot;??_);_(@_)">
                  <c:v>115915.44</c:v>
                </c:pt>
                <c:pt idx="76" formatCode="_([$$-409]* #\ ##0.00_);_([$$-409]* \(#\ ##0.00\);_([$$-409]* &quot;-&quot;??_);_(@_)">
                  <c:v>116018.68</c:v>
                </c:pt>
                <c:pt idx="77" formatCode="_([$$-409]* #\ ##0.00_);_([$$-409]* \(#\ ##0.00\);_([$$-409]* &quot;-&quot;??_);_(@_)">
                  <c:v>115537.44</c:v>
                </c:pt>
                <c:pt idx="78" formatCode="_([$$-409]* #\ ##0.00_);_([$$-409]* \(#\ ##0.00\);_([$$-409]* &quot;-&quot;??_);_(@_)">
                  <c:v>115610.64</c:v>
                </c:pt>
                <c:pt idx="79" formatCode="_([$$-409]* #\ ##0.00_);_([$$-409]* \(#\ ##0.00\);_([$$-409]* &quot;-&quot;??_);_(@_)">
                  <c:v>122574.46</c:v>
                </c:pt>
                <c:pt idx="80" formatCode="_([$$-409]* #\ ##0.00_);_([$$-409]* \(#\ ##0.00\);_([$$-409]* &quot;-&quot;??_);_(@_)">
                  <c:v>123750.51</c:v>
                </c:pt>
                <c:pt idx="81" formatCode="_([$$-409]* #\ ##0.00_);_([$$-409]* \(#\ ##0.00\);_([$$-409]* &quot;-&quot;??_);_(@_)">
                  <c:v>124181.81</c:v>
                </c:pt>
                <c:pt idx="82" formatCode="_([$$-409]* #\ ##0.00_);_([$$-409]* \(#\ ##0.00\);_([$$-409]* &quot;-&quot;??_);_(@_)">
                  <c:v>125313.38</c:v>
                </c:pt>
                <c:pt idx="83" formatCode="_([$$-409]* #\ ##0.00_);_([$$-409]* \(#\ ##0.00\);_([$$-409]* &quot;-&quot;??_);_(@_)">
                  <c:v>126223.18</c:v>
                </c:pt>
                <c:pt idx="84" formatCode="_([$$-409]* #\ ##0.00_);_([$$-409]* \(#\ ##0.00\);_([$$-409]* &quot;-&quot;??_);_(@_)">
                  <c:v>125653.32</c:v>
                </c:pt>
                <c:pt idx="85" formatCode="_([$$-409]* #\ ##0.00_);_([$$-409]* \(#\ ##0.00\);_([$$-409]* &quot;-&quot;??_);_(@_)">
                  <c:v>122842.7</c:v>
                </c:pt>
                <c:pt idx="86" formatCode="_([$$-409]* #\ ##0.00_);_([$$-409]* \(#\ ##0.00\);_([$$-409]* &quot;-&quot;??_);_(@_)">
                  <c:v>123939.18</c:v>
                </c:pt>
                <c:pt idx="87" formatCode="_([$$-409]* #\ ##0.00_);_([$$-409]* \(#\ ##0.00\);_([$$-409]* &quot;-&quot;??_);_(@_)">
                  <c:v>121065.51</c:v>
                </c:pt>
                <c:pt idx="88" formatCode="_([$$-409]* #\ ##0.00_);_([$$-409]* \(#\ ##0.00\);_([$$-409]* &quot;-&quot;??_);_(@_)">
                  <c:v>118204.39</c:v>
                </c:pt>
                <c:pt idx="89" formatCode="_([$$-409]* #\ ##0.00_);_([$$-409]* \(#\ ##0.00\);_([$$-409]* &quot;-&quot;??_);_(@_)">
                  <c:v>114849.43</c:v>
                </c:pt>
                <c:pt idx="90" formatCode="_([$$-409]* #\ ##0.00_);_([$$-409]* \(#\ ##0.00\);_([$$-409]* &quot;-&quot;??_);_(@_)">
                  <c:v>114489.1</c:v>
                </c:pt>
                <c:pt idx="91" formatCode="_([$$-409]* #\ ##0.00_);_([$$-409]* \(#\ ##0.00\);_([$$-409]* &quot;-&quot;??_);_(@_)">
                  <c:v>110996.28</c:v>
                </c:pt>
                <c:pt idx="92" formatCode="_([$$-409]* #\ ##0.00_);_([$$-409]* \(#\ ##0.00\);_([$$-409]* &quot;-&quot;??_);_(@_)">
                  <c:v>109827.09</c:v>
                </c:pt>
                <c:pt idx="93" formatCode="_([$$-409]* #\ ##0.00_);_([$$-409]* \(#\ ##0.00\);_([$$-409]* &quot;-&quot;??_);_(@_)">
                  <c:v>110379.57</c:v>
                </c:pt>
                <c:pt idx="94" formatCode="_([$$-409]* #\ ##0.00_);_([$$-409]* \(#\ ##0.00\);_([$$-409]* &quot;-&quot;??_);_(@_)">
                  <c:v>113699.89</c:v>
                </c:pt>
                <c:pt idx="95" formatCode="_([$$-409]* #\ ##0.00_);_([$$-409]* \(#\ ##0.00\);_([$$-409]* &quot;-&quot;??_);_(@_)">
                  <c:v>114006.32</c:v>
                </c:pt>
                <c:pt idx="96" formatCode="_([$$-409]* #\ ##0.00_);_([$$-409]* \(#\ ##0.00\);_([$$-409]* &quot;-&quot;??_);_(@_)">
                  <c:v>113355.07</c:v>
                </c:pt>
                <c:pt idx="97" formatCode="_([$$-409]* #\ ##0.00_);_([$$-409]* \(#\ ##0.00\);_([$$-409]* &quot;-&quot;??_);_(@_)">
                  <c:v>115614.34</c:v>
                </c:pt>
                <c:pt idx="98" formatCode="_([$$-409]* #\ ##0.00_);_([$$-409]* \(#\ ##0.00\);_([$$-409]* &quot;-&quot;??_);_(@_)">
                  <c:v>116041.72</c:v>
                </c:pt>
                <c:pt idx="99" formatCode="_([$$-409]* #\ ##0.00_);_([$$-409]* \(#\ ##0.00\);_([$$-409]* &quot;-&quot;??_);_(@_)">
                  <c:v>116194.87</c:v>
                </c:pt>
                <c:pt idx="100" formatCode="_([$$-409]* #\ ##0.00_);_([$$-409]* \(#\ ##0.00\);_([$$-409]* &quot;-&quot;??_);_(@_)">
                  <c:v>117584.05</c:v>
                </c:pt>
                <c:pt idx="101" formatCode="_([$$-409]* #\ ##0.00_);_([$$-409]* \(#\ ##0.00\);_([$$-409]* &quot;-&quot;??_);_(@_)">
                  <c:v>117948.43</c:v>
                </c:pt>
                <c:pt idx="102" formatCode="_([$$-409]* #\ ##0.00_);_([$$-409]* \(#\ ##0.00\);_([$$-409]* &quot;-&quot;??_);_(@_)">
                  <c:v>117314.17</c:v>
                </c:pt>
                <c:pt idx="103" formatCode="_([$$-409]* #\ ##0.00_);_([$$-409]* \(#\ ##0.00\);_([$$-409]* &quot;-&quot;??_);_(@_)">
                  <c:v>116940.44</c:v>
                </c:pt>
                <c:pt idx="104" formatCode="_([$$-409]* #\ ##0.00_);_([$$-409]* \(#\ ##0.00\);_([$$-409]* &quot;-&quot;??_);_(@_)">
                  <c:v>116783.12</c:v>
                </c:pt>
                <c:pt idx="105" formatCode="_([$$-409]* #\ ##0.00_);_([$$-409]* \(#\ ##0.00\);_([$$-409]* &quot;-&quot;??_);_(@_)">
                  <c:v>116180.65</c:v>
                </c:pt>
                <c:pt idx="106" formatCode="_([$$-409]* #\ ##0.00_);_([$$-409]* \(#\ ##0.00\);_([$$-409]* &quot;-&quot;??_);_(@_)">
                  <c:v>116377.86</c:v>
                </c:pt>
                <c:pt idx="107" formatCode="_([$$-409]* #\ ##0.00_);_([$$-409]* \(#\ ##0.00\);_([$$-409]* &quot;-&quot;??_);_(@_)">
                  <c:v>116758.47</c:v>
                </c:pt>
                <c:pt idx="108" formatCode="_([$$-409]* #\ ##0.00_);_([$$-409]* \(#\ ##0.00\);_([$$-409]* &quot;-&quot;??_);_(@_)">
                  <c:v>114707.81</c:v>
                </c:pt>
                <c:pt idx="109" formatCode="_([$$-409]* #\ ##0.00_);_([$$-409]* \(#\ ##0.00\);_([$$-409]* &quot;-&quot;??_);_(@_)">
                  <c:v>114307.05</c:v>
                </c:pt>
                <c:pt idx="110" formatCode="_([$$-409]* #\ ##0.00_);_([$$-409]* \(#\ ##0.00\);_([$$-409]* &quot;-&quot;??_);_(@_)">
                  <c:v>113253.87</c:v>
                </c:pt>
                <c:pt idx="111" formatCode="_([$$-409]* #\ ##0.00_);_([$$-409]* \(#\ ##0.00\);_([$$-409]* &quot;-&quot;??_);_(@_)">
                  <c:v>112897.91</c:v>
                </c:pt>
                <c:pt idx="112" formatCode="_([$$-409]* #\ ##0.00_);_([$$-409]* \(#\ ##0.00\);_([$$-409]* &quot;-&quot;??_);_(@_)">
                  <c:v>111382.35</c:v>
                </c:pt>
                <c:pt idx="113" formatCode="_([$$-409]* #\ ##0.00_);_([$$-409]* \(#\ ##0.00\);_([$$-409]* &quot;-&quot;??_);_(@_)">
                  <c:v>111715.3</c:v>
                </c:pt>
                <c:pt idx="114" formatCode="_([$$-409]* #\ ##0.00_);_([$$-409]* \(#\ ##0.00\);_([$$-409]* &quot;-&quot;??_);_(@_)">
                  <c:v>113378.69</c:v>
                </c:pt>
                <c:pt idx="115" formatCode="_([$$-409]* #\ ##0.00_);_([$$-409]* \(#\ ##0.00\);_([$$-409]* &quot;-&quot;??_);_(@_)">
                  <c:v>112314.52</c:v>
                </c:pt>
                <c:pt idx="116" formatCode="_([$$-409]* #\ ##0.00_);_([$$-409]* \(#\ ##0.00\);_([$$-409]* &quot;-&quot;??_);_(@_)">
                  <c:v>112596.97</c:v>
                </c:pt>
                <c:pt idx="117" formatCode="_([$$-409]* #\ ##0.00_);_([$$-409]* \(#\ ##0.00\);_([$$-409]* &quot;-&quot;??_);_(@_)">
                  <c:v>111766.01</c:v>
                </c:pt>
                <c:pt idx="118" formatCode="_([$$-409]* #\ ##0.00_);_([$$-409]* \(#\ ##0.00\);_([$$-409]* &quot;-&quot;??_);_(@_)">
                  <c:v>109903.64</c:v>
                </c:pt>
                <c:pt idx="119" formatCode="_([$$-409]* #\ ##0.00_);_([$$-409]* \(#\ ##0.00\);_([$$-409]* &quot;-&quot;??_);_(@_)">
                  <c:v>109524.96</c:v>
                </c:pt>
                <c:pt idx="120" formatCode="_([$$-409]* #\ ##0.00_);_([$$-409]* \(#\ ##0.00\);_([$$-409]* &quot;-&quot;??_);_(@_)">
                  <c:v>108961.86</c:v>
                </c:pt>
                <c:pt idx="121" formatCode="_([$$-409]* #\ ##0.00_);_([$$-409]* \(#\ ##0.00\);_([$$-409]* &quot;-&quot;??_);_(@_)">
                  <c:v>112644.94</c:v>
                </c:pt>
                <c:pt idx="122" formatCode="_([$$-409]* #\ ##0.00_);_([$$-409]* \(#\ ##0.00\);_([$$-409]* &quot;-&quot;??_);_(@_)">
                  <c:v>113481.24</c:v>
                </c:pt>
                <c:pt idx="123" formatCode="_([$$-409]* #\ ##0.00_);_([$$-409]* \(#\ ##0.00\);_([$$-409]* &quot;-&quot;??_);_(@_)">
                  <c:v>112695.62</c:v>
                </c:pt>
                <c:pt idx="124" formatCode="_([$$-409]* #\ ##0.00_);_([$$-409]* \(#\ ##0.00\);_([$$-409]* &quot;-&quot;??_);_(@_)">
                  <c:v>111436.14</c:v>
                </c:pt>
                <c:pt idx="125" formatCode="_([$$-409]* #\ ##0.00_);_([$$-409]* \(#\ ##0.00\);_([$$-409]* &quot;-&quot;??_);_(@_)">
                  <c:v>113718.75</c:v>
                </c:pt>
                <c:pt idx="126" formatCode="_([$$-409]* #\ ##0.00_);_([$$-409]* \(#\ ##0.00\);_([$$-409]* &quot;-&quot;??_);_(@_)">
                  <c:v>115634.88</c:v>
                </c:pt>
                <c:pt idx="127" formatCode="_([$$-409]* #\ ##0.00_);_([$$-409]* \(#\ ##0.00\);_([$$-409]* &quot;-&quot;??_);_(@_)">
                  <c:v>117178.9</c:v>
                </c:pt>
                <c:pt idx="128" formatCode="_([$$-409]* #\ ##0.00_);_([$$-409]* \(#\ ##0.00\);_([$$-409]* &quot;-&quot;??_);_(@_)">
                  <c:v>117416.17</c:v>
                </c:pt>
                <c:pt idx="129" formatCode="_([$$-409]* #\ ##0.00_);_([$$-409]* \(#\ ##0.00\);_([$$-409]* &quot;-&quot;??_);_(@_)">
                  <c:v>114803.67</c:v>
                </c:pt>
                <c:pt idx="130" formatCode="_([$$-409]* #\ ##0.00_);_([$$-409]* \(#\ ##0.00\);_([$$-409]* &quot;-&quot;??_);_(@_)">
                  <c:v>114446.27</c:v>
                </c:pt>
                <c:pt idx="131" formatCode="_([$$-409]* #\ ##0.00_);_([$$-409]* \(#\ ##0.00\);_([$$-409]* &quot;-&quot;??_);_(@_)">
                  <c:v>117041.04</c:v>
                </c:pt>
                <c:pt idx="132" formatCode="_([$$-409]* #\ ##0.00_);_([$$-409]* \(#\ ##0.00\);_([$$-409]* &quot;-&quot;??_);_(@_)">
                  <c:v>118051.11</c:v>
                </c:pt>
                <c:pt idx="133" formatCode="_([$$-409]* #\ ##0.00_);_([$$-409]* \(#\ ##0.00\);_([$$-409]* &quot;-&quot;??_);_(@_)">
                  <c:v>118609.78</c:v>
                </c:pt>
                <c:pt idx="134" formatCode="_([$$-409]* #\ ##0.00_);_([$$-409]* \(#\ ##0.00\);_([$$-409]* &quot;-&quot;??_);_(@_)">
                  <c:v>117993.26</c:v>
                </c:pt>
                <c:pt idx="135" formatCode="_([$$-409]* #\ ##0.00_);_([$$-409]* \(#\ ##0.00\);_([$$-409]* &quot;-&quot;??_);_(@_)">
                  <c:v>119319.13</c:v>
                </c:pt>
                <c:pt idx="136" formatCode="_([$$-409]* #\ ##0.00_);_([$$-409]* \(#\ ##0.00\);_([$$-409]* &quot;-&quot;??_);_(@_)">
                  <c:v>124480.82</c:v>
                </c:pt>
                <c:pt idx="137" formatCode="_([$$-409]* #\ ##0.00_);_([$$-409]* \(#\ ##0.00\);_([$$-409]* &quot;-&quot;??_);_(@_)">
                  <c:v>123008.91</c:v>
                </c:pt>
                <c:pt idx="138" formatCode="_([$$-409]* #\ ##0.00_);_([$$-409]* \(#\ ##0.00\);_([$$-409]* &quot;-&quot;??_);_(@_)">
                  <c:v>120296.3</c:v>
                </c:pt>
                <c:pt idx="139" formatCode="_([$$-409]* #\ ##0.00_);_([$$-409]* \(#\ ##0.00\);_([$$-409]* &quot;-&quot;??_);_(@_)">
                  <c:v>122308.25</c:v>
                </c:pt>
                <c:pt idx="140" formatCode="_([$$-409]* #\ ##0.00_);_([$$-409]* \(#\ ##0.00\);_([$$-409]* &quot;-&quot;??_);_(@_)">
                  <c:v>119113.42</c:v>
                </c:pt>
                <c:pt idx="141" formatCode="_([$$-409]* #\ ##0.00_);_([$$-409]* \(#\ ##0.00\);_([$$-409]* &quot;-&quot;??_);_(@_)">
                  <c:v>117919.91</c:v>
                </c:pt>
                <c:pt idx="142" formatCode="_([$$-409]* #\ ##0.00_);_([$$-409]* \(#\ ##0.00\);_([$$-409]* &quot;-&quot;??_);_(@_)">
                  <c:v>117694.32</c:v>
                </c:pt>
                <c:pt idx="143" formatCode="_([$$-409]* #\ ##0.00_);_([$$-409]* \(#\ ##0.00\);_([$$-409]* &quot;-&quot;??_);_(@_)">
                  <c:v>117572.21</c:v>
                </c:pt>
                <c:pt idx="144" formatCode="_([$$-409]* #\ ##0.00_);_([$$-409]* \(#\ ##0.00\);_([$$-409]* &quot;-&quot;??_);_(@_)">
                  <c:v>115737.55</c:v>
                </c:pt>
                <c:pt idx="145" formatCode="_([$$-409]* #\ ##0.00_);_([$$-409]* \(#\ ##0.00\);_([$$-409]* &quot;-&quot;??_);_(@_)">
                  <c:v>115358.85</c:v>
                </c:pt>
                <c:pt idx="146" formatCode="_([$$-409]* #\ ##0.00_);_([$$-409]* \(#\ ##0.00\);_([$$-409]* &quot;-&quot;??_);_(@_)">
                  <c:v>115741.69</c:v>
                </c:pt>
                <c:pt idx="147" formatCode="_([$$-409]* #\ ##0.00_);_([$$-409]* \(#\ ##0.00\);_([$$-409]* &quot;-&quot;??_);_(@_)">
                  <c:v>114790.09</c:v>
                </c:pt>
                <c:pt idx="148" formatCode="_([$$-409]* #\ ##0.00_);_([$$-409]* \(#\ ##0.00\);_([$$-409]* &quot;-&quot;??_);_(@_)">
                  <c:v>114067.16</c:v>
                </c:pt>
                <c:pt idx="149" formatCode="_([$$-409]* #\ ##0.00_);_([$$-409]* \(#\ ##0.00\);_([$$-409]* &quot;-&quot;??_);_(@_)">
                  <c:v>116927.73</c:v>
                </c:pt>
                <c:pt idx="150" formatCode="_([$$-409]* #\ ##0.00_);_([$$-409]* \(#\ ##0.00\);_([$$-409]* &quot;-&quot;??_);_(@_)">
                  <c:v>118949.06</c:v>
                </c:pt>
                <c:pt idx="151" formatCode="_([$$-409]* #\ ##0.00_);_([$$-409]* \(#\ ##0.00\);_([$$-409]* &quot;-&quot;??_);_(@_)">
                  <c:v>118796.26</c:v>
                </c:pt>
                <c:pt idx="152" formatCode="_([$$-409]* #\ ##0.00_);_([$$-409]* \(#\ ##0.00\);_([$$-409]* &quot;-&quot;??_);_(@_)">
                  <c:v>119293.44</c:v>
                </c:pt>
                <c:pt idx="153" formatCode="_([$$-409]* #\ ##0.00_);_([$$-409]* \(#\ ##0.00\);_([$$-409]* &quot;-&quot;??_);_(@_)">
                  <c:v>119819.52</c:v>
                </c:pt>
                <c:pt idx="154" formatCode="_([$$-409]* #\ ##0.00_);_([$$-409]* \(#\ ##0.00\);_([$$-409]* &quot;-&quot;??_);_(@_)">
                  <c:v>119564.74</c:v>
                </c:pt>
                <c:pt idx="155" formatCode="_([$$-409]* #\ ##0.00_);_([$$-409]* \(#\ ##0.00\);_([$$-409]* &quot;-&quot;??_);_(@_)">
                  <c:v>118333.98</c:v>
                </c:pt>
                <c:pt idx="156" formatCode="_([$$-409]* #\ ##0.00_);_([$$-409]* \(#\ ##0.00\);_([$$-409]* &quot;-&quot;??_);_(@_)">
                  <c:v>118845.78</c:v>
                </c:pt>
                <c:pt idx="157" formatCode="_([$$-409]* #\ ##0.00_);_([$$-409]* \(#\ ##0.00\);_([$$-409]* &quot;-&quot;??_);_(@_)">
                  <c:v>119529.16</c:v>
                </c:pt>
                <c:pt idx="158" formatCode="_([$$-409]* #\ ##0.00_);_([$$-409]* \(#\ ##0.00\);_([$$-409]* &quot;-&quot;??_);_(@_)">
                  <c:v>120265.89</c:v>
                </c:pt>
                <c:pt idx="159" formatCode="_([$$-409]* #\ ##0.00_);_([$$-409]* \(#\ ##0.00\);_([$$-409]* &quot;-&quot;??_);_(@_)">
                  <c:v>120221.91</c:v>
                </c:pt>
                <c:pt idx="160" formatCode="_([$$-409]* #\ ##0.00_);_([$$-409]* \(#\ ##0.00\);_([$$-409]* &quot;-&quot;??_);_(@_)">
                  <c:v>119658.14</c:v>
                </c:pt>
                <c:pt idx="161" formatCode="_([$$-409]* #\ ##0.00_);_([$$-409]* \(#\ ##0.00\);_([$$-409]* &quot;-&quot;??_);_(@_)">
                  <c:v>118857</c:v>
                </c:pt>
                <c:pt idx="162" formatCode="_([$$-409]* #\ ##0.00_);_([$$-409]* \(#\ ##0.00\);_([$$-409]* &quot;-&quot;??_);_(@_)">
                  <c:v>118538.41</c:v>
                </c:pt>
                <c:pt idx="163" formatCode="_([$$-409]* #\ ##0.00_);_([$$-409]* \(#\ ##0.00\);_([$$-409]* &quot;-&quot;??_);_(@_)">
                  <c:v>120997.75999999999</c:v>
                </c:pt>
                <c:pt idx="164" formatCode="_([$$-409]* #\ ##0.00_);_([$$-409]* \(#\ ##0.00\);_([$$-409]* &quot;-&quot;??_);_(@_)">
                  <c:v>120059.21</c:v>
                </c:pt>
                <c:pt idx="165" formatCode="_([$$-409]* #\ ##0.00_);_([$$-409]* \(#\ ##0.00\);_([$$-409]* &quot;-&quot;??_);_(@_)">
                  <c:v>119990.63</c:v>
                </c:pt>
                <c:pt idx="166" formatCode="_([$$-409]* #\ ##0.00_);_([$$-409]* \(#\ ##0.00\);_([$$-409]* &quot;-&quot;??_);_(@_)">
                  <c:v>120321.04</c:v>
                </c:pt>
                <c:pt idx="167" formatCode="_([$$-409]* #\ ##0.00_);_([$$-409]* \(#\ ##0.00\);_([$$-409]* &quot;-&quot;??_);_(@_)">
                  <c:v>123153.22</c:v>
                </c:pt>
                <c:pt idx="168" formatCode="_([$$-409]* #\ ##0.00_);_([$$-409]* \(#\ ##0.00\);_([$$-409]* &quot;-&quot;??_);_(@_)">
                  <c:v>119437.44</c:v>
                </c:pt>
                <c:pt idx="169" formatCode="_([$$-409]* #\ ##0.00_);_([$$-409]* \(#\ ##0.00\);_([$$-409]* &quot;-&quot;??_);_(@_)">
                  <c:v>118180.88</c:v>
                </c:pt>
                <c:pt idx="170" formatCode="_([$$-409]* #\ ##0.00_);_([$$-409]* \(#\ ##0.00\);_([$$-409]* &quot;-&quot;??_);_(@_)">
                  <c:v>118832</c:v>
                </c:pt>
                <c:pt idx="171" formatCode="_([$$-409]* #\ ##0.00_);_([$$-409]* \(#\ ##0.00\);_([$$-409]* &quot;-&quot;??_);_(@_)">
                  <c:v>113820.49</c:v>
                </c:pt>
                <c:pt idx="172" formatCode="_([$$-409]* #\ ##0.00_);_([$$-409]* \(#\ ##0.00\);_([$$-409]* &quot;-&quot;??_);_(@_)">
                  <c:v>111988.9</c:v>
                </c:pt>
                <c:pt idx="173" formatCode="_([$$-409]* #\ ##0.00_);_([$$-409]* \(#\ ##0.00\);_([$$-409]* &quot;-&quot;??_);_(@_)">
                  <c:v>109226.73</c:v>
                </c:pt>
                <c:pt idx="174" formatCode="_([$$-409]* #\ ##0.00_);_([$$-409]* \(#\ ##0.00\);_([$$-409]* &quot;-&quot;??_);_(@_)">
                  <c:v>109731.06</c:v>
                </c:pt>
                <c:pt idx="175" formatCode="_([$$-409]* #\ ##0.00_);_([$$-409]* \(#\ ##0.00\);_([$$-409]* &quot;-&quot;??_);_(@_)">
                  <c:v>109133.84</c:v>
                </c:pt>
                <c:pt idx="176" formatCode="_([$$-409]* #\ ##0.00_);_([$$-409]* \(#\ ##0.00\);_([$$-409]* &quot;-&quot;??_);_(@_)">
                  <c:v>108422.22</c:v>
                </c:pt>
                <c:pt idx="177" formatCode="_([$$-409]* #\ ##0.00_);_([$$-409]* \(#\ ##0.00\);_([$$-409]* &quot;-&quot;??_);_(@_)">
                  <c:v>110045.71</c:v>
                </c:pt>
                <c:pt idx="178" formatCode="_([$$-409]* #\ ##0.00_);_([$$-409]* \(#\ ##0.00\);_([$$-409]* &quot;-&quot;??_);_(@_)">
                  <c:v>110585.56</c:v>
                </c:pt>
                <c:pt idx="179" formatCode="_([$$-409]* #\ ##0.00_);_([$$-409]* \(#\ ##0.00\);_([$$-409]* &quot;-&quot;??_);_(@_)">
                  <c:v>109813.34</c:v>
                </c:pt>
                <c:pt idx="180" formatCode="_([$$-409]* #\ ##0.00_);_([$$-409]* \(#\ ##0.00\);_([$$-409]* &quot;-&quot;??_);_(@_)">
                  <c:v>107632.36</c:v>
                </c:pt>
                <c:pt idx="181" formatCode="_([$$-409]* #\ ##0.00_);_([$$-409]* \(#\ ##0.00\);_([$$-409]* &quot;-&quot;??_);_(@_)">
                  <c:v>108797.01</c:v>
                </c:pt>
                <c:pt idx="182" formatCode="_([$$-409]* #\ ##0.00_);_([$$-409]* \(#\ ##0.00\);_([$$-409]* &quot;-&quot;??_);_(@_)">
                  <c:v>108521.17</c:v>
                </c:pt>
                <c:pt idx="183" formatCode="_([$$-409]* #\ ##0.00_);_([$$-409]* \(#\ ##0.00\);_([$$-409]* &quot;-&quot;??_);_(@_)">
                  <c:v>107558.52</c:v>
                </c:pt>
                <c:pt idx="184" formatCode="_([$$-409]* #\ ##0.00_);_([$$-409]* \(#\ ##0.00\);_([$$-409]* &quot;-&quot;??_);_(@_)">
                  <c:v>107812.92</c:v>
                </c:pt>
                <c:pt idx="185" formatCode="_([$$-409]* #\ ##0.00_);_([$$-409]* \(#\ ##0.00\);_([$$-409]* &quot;-&quot;??_);_(@_)">
                  <c:v>108291.52</c:v>
                </c:pt>
                <c:pt idx="186" formatCode="_([$$-409]* #\ ##0.00_);_([$$-409]* \(#\ ##0.00\);_([$$-409]* &quot;-&quot;??_);_(@_)">
                  <c:v>108161.53</c:v>
                </c:pt>
                <c:pt idx="187" formatCode="_([$$-409]* #\ ##0.00_);_([$$-409]* \(#\ ##0.00\);_([$$-409]* &quot;-&quot;??_);_(@_)">
                  <c:v>106329.49</c:v>
                </c:pt>
                <c:pt idx="188" formatCode="_([$$-409]* #\ ##0.00_);_([$$-409]* \(#\ ##0.00\);_([$$-409]* &quot;-&quot;??_);_(@_)">
                  <c:v>103989.53</c:v>
                </c:pt>
                <c:pt idx="189" formatCode="_([$$-409]* #\ ##0.00_);_([$$-409]* \(#\ ##0.00\);_([$$-409]* &quot;-&quot;??_);_(@_)">
                  <c:v>103364.07</c:v>
                </c:pt>
                <c:pt idx="190" formatCode="_([$$-409]* #\ ##0.00_);_([$$-409]* \(#\ ##0.00\);_([$$-409]* &quot;-&quot;??_);_(@_)">
                  <c:v>104031.7</c:v>
                </c:pt>
                <c:pt idx="191" formatCode="_([$$-409]* #\ ##0.00_);_([$$-409]* \(#\ ##0.00\);_([$$-409]* &quot;-&quot;??_);_(@_)">
                  <c:v>106529.68</c:v>
                </c:pt>
                <c:pt idx="192" formatCode="_([$$-409]* #\ ##0.00_);_([$$-409]* \(#\ ##0.00\);_([$$-409]* &quot;-&quot;??_);_(@_)">
                  <c:v>105259.75</c:v>
                </c:pt>
                <c:pt idx="193" formatCode="_([$$-409]* #\ ##0.00_);_([$$-409]* \(#\ ##0.00\);_([$$-409]* &quot;-&quot;??_);_(@_)">
                  <c:v>105570.87</c:v>
                </c:pt>
                <c:pt idx="194" formatCode="_([$$-409]* #\ ##0.00_);_([$$-409]* \(#\ ##0.00\);_([$$-409]* &quot;-&quot;??_);_(@_)">
                  <c:v>108969.89</c:v>
                </c:pt>
                <c:pt idx="195" formatCode="_([$$-409]* #\ ##0.00_);_([$$-409]* \(#\ ##0.00\);_([$$-409]* &quot;-&quot;??_);_(@_)">
                  <c:v>108917.77</c:v>
                </c:pt>
                <c:pt idx="196" formatCode="_([$$-409]* #\ ##0.00_);_([$$-409]* \(#\ ##0.00\);_([$$-409]* &quot;-&quot;??_);_(@_)">
                  <c:v>106166.13</c:v>
                </c:pt>
                <c:pt idx="197" formatCode="_([$$-409]* #\ ##0.00_);_([$$-409]* \(#\ ##0.00\);_([$$-409]* &quot;-&quot;??_);_(@_)">
                  <c:v>106226.2</c:v>
                </c:pt>
                <c:pt idx="198" formatCode="_([$$-409]* #\ ##0.00_);_([$$-409]* \(#\ ##0.00\);_([$$-409]* &quot;-&quot;??_);_(@_)">
                  <c:v>106462.02</c:v>
                </c:pt>
                <c:pt idx="199" formatCode="_([$$-409]* #\ ##0.00_);_([$$-409]* \(#\ ##0.00\);_([$$-409]* &quot;-&quot;??_);_(@_)">
                  <c:v>109223.21</c:v>
                </c:pt>
                <c:pt idx="200" formatCode="_([$$-409]* #\ ##0.00_);_([$$-409]* \(#\ ##0.00\);_([$$-409]* &quot;-&quot;??_);_(@_)">
                  <c:v>110389.27</c:v>
                </c:pt>
                <c:pt idx="201" formatCode="_([$$-409]* #\ ##0.00_);_([$$-409]* \(#\ ##0.00\);_([$$-409]* &quot;-&quot;??_);_(@_)">
                  <c:v>110446.38</c:v>
                </c:pt>
                <c:pt idx="202" formatCode="_([$$-409]* #\ ##0.00_);_([$$-409]* \(#\ ##0.00\);_([$$-409]* &quot;-&quot;??_);_(@_)">
                  <c:v>108814.54</c:v>
                </c:pt>
                <c:pt idx="203" formatCode="_([$$-409]* #\ ##0.00_);_([$$-409]* \(#\ ##0.00\);_([$$-409]* &quot;-&quot;??_);_(@_)">
                  <c:v>106399.89</c:v>
                </c:pt>
                <c:pt idx="204" formatCode="_([$$-409]* #\ ##0.00_);_([$$-409]* \(#\ ##0.00\);_([$$-409]* &quot;-&quot;??_);_(@_)">
                  <c:v>105940.25</c:v>
                </c:pt>
                <c:pt idx="205" formatCode="_([$$-409]* #\ ##0.00_);_([$$-409]* \(#\ ##0.00\);_([$$-409]* &quot;-&quot;??_);_(@_)">
                  <c:v>105390.77</c:v>
                </c:pt>
                <c:pt idx="206" formatCode="_([$$-409]* #\ ##0.00_);_([$$-409]* \(#\ ##0.00\);_([$$-409]* &quot;-&quot;??_);_(@_)">
                  <c:v>105936.29</c:v>
                </c:pt>
                <c:pt idx="207" formatCode="_([$$-409]* #\ ##0.00_);_([$$-409]* \(#\ ##0.00\);_([$$-409]* &quot;-&quot;??_);_(@_)">
                  <c:v>106009.8</c:v>
                </c:pt>
                <c:pt idx="208" formatCode="_([$$-409]* #\ ##0.00_);_([$$-409]* \(#\ ##0.00\);_([$$-409]* &quot;-&quot;??_);_(@_)">
                  <c:v>106824.94</c:v>
                </c:pt>
                <c:pt idx="209" formatCode="_([$$-409]* #\ ##0.00_);_([$$-409]* \(#\ ##0.00\);_([$$-409]* &quot;-&quot;??_);_(@_)">
                  <c:v>105961.1</c:v>
                </c:pt>
                <c:pt idx="210" formatCode="_([$$-409]* #\ ##0.00_);_([$$-409]* \(#\ ##0.00\);_([$$-409]* &quot;-&quot;??_);_(@_)">
                  <c:v>105327.51</c:v>
                </c:pt>
                <c:pt idx="211" formatCode="_([$$-409]* #\ ##0.00_);_([$$-409]* \(#\ ##0.00\);_([$$-409]* &quot;-&quot;??_);_(@_)">
                  <c:v>104893.79</c:v>
                </c:pt>
                <c:pt idx="212" formatCode="_([$$-409]* #\ ##0.00_);_([$$-409]* \(#\ ##0.00\);_([$$-409]* &quot;-&quot;??_);_(@_)">
                  <c:v>106446.92</c:v>
                </c:pt>
                <c:pt idx="213" formatCode="_([$$-409]* #\ ##0.00_);_([$$-409]* \(#\ ##0.00\);_([$$-409]* &quot;-&quot;??_);_(@_)">
                  <c:v>108916.79</c:v>
                </c:pt>
                <c:pt idx="214" formatCode="_([$$-409]* #\ ##0.00_);_([$$-409]* \(#\ ##0.00\);_([$$-409]* &quot;-&quot;??_);_(@_)">
                  <c:v>109715.07</c:v>
                </c:pt>
                <c:pt idx="215" formatCode="_([$$-409]* #\ ##0.00_);_([$$-409]* \(#\ ##0.00\);_([$$-409]* &quot;-&quot;??_);_(@_)">
                  <c:v>110747.94</c:v>
                </c:pt>
                <c:pt idx="216" formatCode="_([$$-409]* #\ ##0.00_);_([$$-409]* \(#\ ##0.00\);_([$$-409]* &quot;-&quot;??_);_(@_)">
                  <c:v>110405.91</c:v>
                </c:pt>
                <c:pt idx="217" formatCode="_([$$-409]* #\ ##0.00_);_([$$-409]* \(#\ ##0.00\);_([$$-409]* &quot;-&quot;??_);_(@_)">
                  <c:v>108903.98</c:v>
                </c:pt>
                <c:pt idx="218" formatCode="_([$$-409]* #\ ##0.00_);_([$$-409]* \(#\ ##0.00\);_([$$-409]* &quot;-&quot;??_);_(@_)">
                  <c:v>109490</c:v>
                </c:pt>
                <c:pt idx="219" formatCode="_([$$-409]* #\ ##0.00_);_([$$-409]* \(#\ ##0.00\);_([$$-409]* &quot;-&quot;??_);_(@_)">
                  <c:v>111769.75</c:v>
                </c:pt>
                <c:pt idx="220" formatCode="_([$$-409]* #\ ##0.00_);_([$$-409]* \(#\ ##0.00\);_([$$-409]* &quot;-&quot;??_);_(@_)">
                  <c:v>111965.62</c:v>
                </c:pt>
                <c:pt idx="221" formatCode="_([$$-409]* #\ ##0.00_);_([$$-409]* \(#\ ##0.00\);_([$$-409]* &quot;-&quot;??_);_(@_)">
                  <c:v>109760.08</c:v>
                </c:pt>
                <c:pt idx="222" formatCode="_([$$-409]* #\ ##0.00_);_([$$-409]* \(#\ ##0.00\);_([$$-409]* &quot;-&quot;??_);_(@_)">
                  <c:v>107299.02</c:v>
                </c:pt>
                <c:pt idx="223" formatCode="_([$$-409]* #\ ##0.00_);_([$$-409]* \(#\ ##0.00\);_([$$-409]* &quot;-&quot;??_);_(@_)">
                  <c:v>107060.46</c:v>
                </c:pt>
                <c:pt idx="224" formatCode="_([$$-409]* #\ ##0.00_);_([$$-409]* \(#\ ##0.00\);_([$$-409]* &quot;-&quot;??_);_(@_)">
                  <c:v>105939.95</c:v>
                </c:pt>
                <c:pt idx="225" formatCode="_([$$-409]* #\ ##0.00_);_([$$-409]* \(#\ ##0.00\);_([$$-409]* &quot;-&quot;??_);_(@_)">
                  <c:v>103811.31</c:v>
                </c:pt>
                <c:pt idx="226" formatCode="_([$$-409]* #\ ##0.00_);_([$$-409]* \(#\ ##0.00\);_([$$-409]* &quot;-&quot;??_);_(@_)">
                  <c:v>104534.86</c:v>
                </c:pt>
                <c:pt idx="227" formatCode="_([$$-409]* #\ ##0.00_);_([$$-409]* \(#\ ##0.00\);_([$$-409]* &quot;-&quot;??_);_(@_)">
                  <c:v>104160.67</c:v>
                </c:pt>
                <c:pt idx="228" formatCode="_([$$-409]* #\ ##0.00_);_([$$-409]* \(#\ ##0.00\);_([$$-409]* &quot;-&quot;??_);_(@_)">
                  <c:v>104628.7</c:v>
                </c:pt>
                <c:pt idx="229" formatCode="_([$$-409]* #\ ##0.00_);_([$$-409]* \(#\ ##0.00\);_([$$-409]* &quot;-&quot;??_);_(@_)">
                  <c:v>104995.29</c:v>
                </c:pt>
                <c:pt idx="230" formatCode="_([$$-409]* #\ ##0.00_);_([$$-409]* \(#\ ##0.00\);_([$$-409]* &quot;-&quot;??_);_(@_)">
                  <c:v>105716.07</c:v>
                </c:pt>
                <c:pt idx="231" formatCode="_([$$-409]* #\ ##0.00_);_([$$-409]* \(#\ ##0.00\);_([$$-409]* &quot;-&quot;??_);_(@_)">
                  <c:v>104948.8</c:v>
                </c:pt>
                <c:pt idx="232" formatCode="_([$$-409]* #\ ##0.00_);_([$$-409]* \(#\ ##0.00\);_([$$-409]* &quot;-&quot;??_);_(@_)">
                  <c:v>104056.92</c:v>
                </c:pt>
                <c:pt idx="233" formatCode="_([$$-409]* #\ ##0.00_);_([$$-409]* \(#\ ##0.00\);_([$$-409]* &quot;-&quot;??_);_(@_)">
                  <c:v>104324.39</c:v>
                </c:pt>
                <c:pt idx="234" formatCode="_([$$-409]* #\ ##0.00_);_([$$-409]* \(#\ ##0.00\);_([$$-409]* &quot;-&quot;??_);_(@_)">
                  <c:v>102815.98</c:v>
                </c:pt>
                <c:pt idx="235" formatCode="_([$$-409]* #\ ##0.00_);_([$$-409]* \(#\ ##0.00\);_([$$-409]* &quot;-&quot;??_);_(@_)">
                  <c:v>97731.53</c:v>
                </c:pt>
                <c:pt idx="236" formatCode="_([$$-409]* #\ ##0.00_);_([$$-409]* \(#\ ##0.00\);_([$$-409]* &quot;-&quot;??_);_(@_)">
                  <c:v>95219.82</c:v>
                </c:pt>
                <c:pt idx="237" formatCode="_([$$-409]* #\ ##0.00_);_([$$-409]* \(#\ ##0.00\);_([$$-409]* &quot;-&quot;??_);_(@_)">
                  <c:v>95781.2</c:v>
                </c:pt>
                <c:pt idx="238" formatCode="_([$$-409]* #\ ##0.00_);_([$$-409]* \(#\ ##0.00\);_([$$-409]* &quot;-&quot;??_);_(@_)">
                  <c:v>96457.04</c:v>
                </c:pt>
                <c:pt idx="239" formatCode="_([$$-409]* #\ ##0.00_);_([$$-409]* \(#\ ##0.00\);_([$$-409]* &quot;-&quot;??_);_(@_)">
                  <c:v>97079.02</c:v>
                </c:pt>
                <c:pt idx="240" formatCode="_([$$-409]* #\ ##0.00_);_([$$-409]* \(#\ ##0.00\);_([$$-409]* &quot;-&quot;??_);_(@_)">
                  <c:v>97913.35</c:v>
                </c:pt>
                <c:pt idx="241" formatCode="_([$$-409]* #\ ##0.00_);_([$$-409]* \(#\ ##0.00\);_([$$-409]* &quot;-&quot;??_);_(@_)">
                  <c:v>97473.88</c:v>
                </c:pt>
                <c:pt idx="242" formatCode="_([$$-409]* #\ ##0.00_);_([$$-409]* \(#\ ##0.00\);_([$$-409]* &quot;-&quot;??_);_(@_)">
                  <c:v>95242.38</c:v>
                </c:pt>
                <c:pt idx="243" formatCode="_([$$-409]* #\ ##0.00_);_([$$-409]* \(#\ ##0.00\);_([$$-409]* &quot;-&quot;??_);_(@_)">
                  <c:v>95481.41</c:v>
                </c:pt>
                <c:pt idx="244" formatCode="_([$$-409]* #\ ##0.00_);_([$$-409]* \(#\ ##0.00\);_([$$-409]* &quot;-&quot;??_);_(@_)">
                  <c:v>95608.25</c:v>
                </c:pt>
                <c:pt idx="245" formatCode="_([$$-409]* #\ ##0.00_);_([$$-409]* \(#\ ##0.00\);_([$$-409]* &quot;-&quot;??_);_(@_)">
                  <c:v>95357.88</c:v>
                </c:pt>
                <c:pt idx="246" formatCode="_([$$-409]* #\ ##0.00_);_([$$-409]* \(#\ ##0.00\);_([$$-409]* &quot;-&quot;??_);_(@_)">
                  <c:v>95244.64</c:v>
                </c:pt>
                <c:pt idx="247" formatCode="_([$$-409]* #\ ##0.00_);_([$$-409]* \(#\ ##0.00\);_([$$-409]* &quot;-&quot;??_);_(@_)">
                  <c:v>95829.99</c:v>
                </c:pt>
                <c:pt idx="248" formatCode="_([$$-409]* #\ ##0.00_);_([$$-409]* \(#\ ##0.00\);_([$$-409]* &quot;-&quot;??_);_(@_)">
                  <c:v>93907.63</c:v>
                </c:pt>
                <c:pt idx="249" formatCode="_([$$-409]* #\ ##0.00_);_([$$-409]* \(#\ ##0.00\);_([$$-409]* &quot;-&quot;??_);_(@_)">
                  <c:v>94489.919999999998</c:v>
                </c:pt>
                <c:pt idx="250" formatCode="_([$$-409]* #\ ##0.00_);_([$$-409]* \(#\ ##0.00\);_([$$-409]* &quot;-&quot;??_);_(@_)">
                  <c:v>91720.960000000006</c:v>
                </c:pt>
                <c:pt idx="251" formatCode="_([$$-409]* #\ ##0.00_);_([$$-409]* \(#\ ##0.00\);_([$$-409]* &quot;-&quot;??_);_(@_)">
                  <c:v>88485.14</c:v>
                </c:pt>
                <c:pt idx="252" formatCode="_([$$-409]* #\ ##0.00_);_([$$-409]* \(#\ ##0.00\);_([$$-409]* &quot;-&quot;??_);_(@_)">
                  <c:v>85364.26</c:v>
                </c:pt>
                <c:pt idx="253" formatCode="_([$$-409]* #\ ##0.00_);_([$$-409]* \(#\ ##0.00\);_([$$-409]* &quot;-&quot;??_);_(@_)">
                  <c:v>85589.55</c:v>
                </c:pt>
                <c:pt idx="254" formatCode="_([$$-409]* #\ ##0.00_);_([$$-409]* \(#\ ##0.00\);_([$$-409]* &quot;-&quot;??_);_(@_)">
                  <c:v>85137.73</c:v>
                </c:pt>
                <c:pt idx="255" formatCode="_([$$-409]* #\ ##0.00_);_([$$-409]* \(#\ ##0.00\);_([$$-409]* &quot;-&quot;??_);_(@_)">
                  <c:v>85461.61</c:v>
                </c:pt>
                <c:pt idx="256" formatCode="_([$$-409]* #\ ##0.00_);_([$$-409]* \(#\ ##0.00\);_([$$-409]* &quot;-&quot;??_);_(@_)">
                  <c:v>85441.53</c:v>
                </c:pt>
                <c:pt idx="257" formatCode="_([$$-409]* #\ ##0.00_);_([$$-409]* \(#\ ##0.00\);_([$$-409]* &quot;-&quot;??_);_(@_)">
                  <c:v>86434.2</c:v>
                </c:pt>
                <c:pt idx="258" formatCode="_([$$-409]* #\ ##0.00_);_([$$-409]* \(#\ ##0.00\);_([$$-409]* &quot;-&quot;??_);_(@_)">
                  <c:v>85781.59</c:v>
                </c:pt>
                <c:pt idx="259" formatCode="_([$$-409]* #\ ##0.00_);_([$$-409]* \(#\ ##0.00\);_([$$-409]* &quot;-&quot;??_);_(@_)">
                  <c:v>86042.76</c:v>
                </c:pt>
                <c:pt idx="260" formatCode="_([$$-409]* #\ ##0.00_);_([$$-409]* \(#\ ##0.00\);_([$$-409]* &quot;-&quot;??_);_(@_)">
                  <c:v>85864.57</c:v>
                </c:pt>
                <c:pt idx="261" formatCode="_([$$-409]* #\ ##0.00_);_([$$-409]* \(#\ ##0.00\);_([$$-409]* &quot;-&quot;??_);_(@_)">
                  <c:v>84172.58</c:v>
                </c:pt>
                <c:pt idx="262" formatCode="_([$$-409]* #\ ##0.00_);_([$$-409]* \(#\ ##0.00\);_([$$-409]* &quot;-&quot;??_);_(@_)">
                  <c:v>83548.039999999994</c:v>
                </c:pt>
                <c:pt idx="263" formatCode="_([$$-409]* #\ ##0.00_);_([$$-409]* \(#\ ##0.00\);_([$$-409]* &quot;-&quot;??_);_(@_)">
                  <c:v>83209.320000000007</c:v>
                </c:pt>
                <c:pt idx="264" formatCode="_([$$-409]* #\ ##0.00_);_([$$-409]* \(#\ ##0.00\);_([$$-409]* &quot;-&quot;??_);_(@_)">
                  <c:v>80828.94</c:v>
                </c:pt>
                <c:pt idx="265" formatCode="_([$$-409]* #\ ##0.00_);_([$$-409]* \(#\ ##0.00\);_([$$-409]* &quot;-&quot;??_);_(@_)">
                  <c:v>81145.75</c:v>
                </c:pt>
                <c:pt idx="266" formatCode="_([$$-409]* #\ ##0.00_);_([$$-409]* \(#\ ##0.00\);_([$$-409]* &quot;-&quot;??_);_(@_)">
                  <c:v>83732.73</c:v>
                </c:pt>
                <c:pt idx="267" formatCode="_([$$-409]* #\ ##0.00_);_([$$-409]* \(#\ ##0.00\);_([$$-409]* &quot;-&quot;??_);_(@_)">
                  <c:v>84416.14</c:v>
                </c:pt>
                <c:pt idx="268" formatCode="_([$$-409]* #\ ##0.00_);_([$$-409]* \(#\ ##0.00\);_([$$-409]* &quot;-&quot;??_);_(@_)">
                  <c:v>84701.92</c:v>
                </c:pt>
                <c:pt idx="269" formatCode="_([$$-409]* #\ ##0.00_);_([$$-409]* \(#\ ##0.00\);_([$$-409]* &quot;-&quot;??_);_(@_)">
                  <c:v>85736.87</c:v>
                </c:pt>
                <c:pt idx="270" formatCode="_([$$-409]* #\ ##0.00_);_([$$-409]* \(#\ ##0.00\);_([$$-409]* &quot;-&quot;??_);_(@_)">
                  <c:v>88393.8</c:v>
                </c:pt>
                <c:pt idx="271" formatCode="_([$$-409]* #\ ##0.00_);_([$$-409]* \(#\ ##0.00\);_([$$-409]* &quot;-&quot;??_);_(@_)">
                  <c:v>85484.54</c:v>
                </c:pt>
                <c:pt idx="272" formatCode="_([$$-409]* #\ ##0.00_);_([$$-409]* \(#\ ##0.00\);_([$$-409]* &quot;-&quot;??_);_(@_)">
                  <c:v>83902.73</c:v>
                </c:pt>
                <c:pt idx="273" formatCode="_([$$-409]* #\ ##0.00_);_([$$-409]* \(#\ ##0.00\);_([$$-409]* &quot;-&quot;??_);_(@_)">
                  <c:v>83531.3</c:v>
                </c:pt>
                <c:pt idx="274" formatCode="_([$$-409]* #\ ##0.00_);_([$$-409]* \(#\ ##0.00\);_([$$-409]* &quot;-&quot;??_);_(@_)">
                  <c:v>84592.48</c:v>
                </c:pt>
                <c:pt idx="275" formatCode="_([$$-409]* #\ ##0.00_);_([$$-409]* \(#\ ##0.00\);_([$$-409]* &quot;-&quot;??_);_(@_)">
                  <c:v>87711.63</c:v>
                </c:pt>
                <c:pt idx="276" formatCode="_([$$-409]* #\ ##0.00_);_([$$-409]* \(#\ ##0.00\);_([$$-409]* &quot;-&quot;??_);_(@_)">
                  <c:v>87777.94</c:v>
                </c:pt>
                <c:pt idx="277" formatCode="_([$$-409]* #\ ##0.00_);_([$$-409]* \(#\ ##0.00\);_([$$-409]* &quot;-&quot;??_);_(@_)">
                  <c:v>88300.37</c:v>
                </c:pt>
                <c:pt idx="278" formatCode="_([$$-409]* #\ ##0.00_);_([$$-409]* \(#\ ##0.00\);_([$$-409]* &quot;-&quot;??_);_(@_)">
                  <c:v>88555.93</c:v>
                </c:pt>
                <c:pt idx="279" formatCode="_([$$-409]* #\ ##0.00_);_([$$-409]* \(#\ ##0.00\);_([$$-409]* &quot;-&quot;??_);_(@_)">
                  <c:v>88771.75</c:v>
                </c:pt>
                <c:pt idx="280" formatCode="_([$$-409]* #\ ##0.00_);_([$$-409]* \(#\ ##0.00\);_([$$-409]* &quot;-&quot;??_);_(@_)">
                  <c:v>85401.7</c:v>
                </c:pt>
                <c:pt idx="281" formatCode="_([$$-409]* #\ ##0.00_);_([$$-409]* \(#\ ##0.00\);_([$$-409]* &quot;-&quot;??_);_(@_)">
                  <c:v>84555.88</c:v>
                </c:pt>
                <c:pt idx="282" formatCode="_([$$-409]* #\ ##0.00_);_([$$-409]* \(#\ ##0.00\);_([$$-409]* &quot;-&quot;??_);_(@_)">
                  <c:v>84818.85</c:v>
                </c:pt>
                <c:pt idx="283" formatCode="_([$$-409]* #\ ##0.00_);_([$$-409]* \(#\ ##0.00\);_([$$-409]* &quot;-&quot;??_);_(@_)">
                  <c:v>87462.57</c:v>
                </c:pt>
                <c:pt idx="284" formatCode="_([$$-409]* #\ ##0.00_);_([$$-409]* \(#\ ##0.00\);_([$$-409]* &quot;-&quot;??_);_(@_)">
                  <c:v>85959.16</c:v>
                </c:pt>
                <c:pt idx="285" formatCode="_([$$-409]* #\ ##0.00_);_([$$-409]* \(#\ ##0.00\);_([$$-409]* &quot;-&quot;??_);_(@_)">
                  <c:v>84263.34</c:v>
                </c:pt>
                <c:pt idx="286" formatCode="_([$$-409]* #\ ##0.00_);_([$$-409]* \(#\ ##0.00\);_([$$-409]* &quot;-&quot;??_);_(@_)">
                  <c:v>84746.78</c:v>
                </c:pt>
                <c:pt idx="287" formatCode="_([$$-409]* #\ ##0.00_);_([$$-409]* \(#\ ##0.00\);_([$$-409]* &quot;-&quot;??_);_(@_)">
                  <c:v>84942.95</c:v>
                </c:pt>
                <c:pt idx="288" formatCode="_([$$-409]* #\ ##0.00_);_([$$-409]* \(#\ ##0.00\);_([$$-409]* &quot;-&quot;??_);_(@_)">
                  <c:v>84709.33</c:v>
                </c:pt>
                <c:pt idx="289" formatCode="_([$$-409]* #\ ##0.00_);_([$$-409]* \(#\ ##0.00\);_([$$-409]* &quot;-&quot;??_);_(@_)">
                  <c:v>85310.85</c:v>
                </c:pt>
                <c:pt idx="290" formatCode="_([$$-409]* #\ ##0.00_);_([$$-409]* \(#\ ##0.00\);_([$$-409]* &quot;-&quot;??_);_(@_)">
                  <c:v>84312.16</c:v>
                </c:pt>
                <c:pt idx="291" formatCode="_([$$-409]* #\ ##0.00_);_([$$-409]* \(#\ ##0.00\);_([$$-409]* &quot;-&quot;??_);_(@_)">
                  <c:v>84326.77</c:v>
                </c:pt>
                <c:pt idx="292" formatCode="_([$$-409]* #\ ##0.00_);_([$$-409]* \(#\ ##0.00\);_([$$-409]* &quot;-&quot;??_);_(@_)">
                  <c:v>83614.899999999994</c:v>
                </c:pt>
                <c:pt idx="293" formatCode="_([$$-409]* #\ ##0.00_);_([$$-409]* \(#\ ##0.00\);_([$$-409]* &quot;-&quot;??_);_(@_)">
                  <c:v>83890.27</c:v>
                </c:pt>
                <c:pt idx="294" formatCode="_([$$-409]* #\ ##0.00_);_([$$-409]* \(#\ ##0.00\);_([$$-409]* &quot;-&quot;??_);_(@_)">
                  <c:v>86477.1</c:v>
                </c:pt>
                <c:pt idx="295" formatCode="_([$$-409]* #\ ##0.00_);_([$$-409]* \(#\ ##0.00\);_([$$-409]* &quot;-&quot;??_);_(@_)">
                  <c:v>86883.05</c:v>
                </c:pt>
                <c:pt idx="296" formatCode="_([$$-409]* #\ ##0.00_);_([$$-409]* \(#\ ##0.00\);_([$$-409]* &quot;-&quot;??_);_(@_)">
                  <c:v>91168.62</c:v>
                </c:pt>
                <c:pt idx="297" formatCode="_([$$-409]* #\ ##0.00_);_([$$-409]* \(#\ ##0.00\);_([$$-409]* &quot;-&quot;??_);_(@_)">
                  <c:v>92804.67</c:v>
                </c:pt>
                <c:pt idx="298" formatCode="_([$$-409]* #\ ##0.00_);_([$$-409]* \(#\ ##0.00\);_([$$-409]* &quot;-&quot;??_);_(@_)">
                  <c:v>90898.64</c:v>
                </c:pt>
                <c:pt idx="299" formatCode="_([$$-409]* #\ ##0.00_);_([$$-409]* \(#\ ##0.00\);_([$$-409]* &quot;-&quot;??_);_(@_)">
                  <c:v>88904.15</c:v>
                </c:pt>
                <c:pt idx="300" formatCode="_([$$-409]* #\ ##0.00_);_([$$-409]* \(#\ ##0.00\);_([$$-409]* &quot;-&quot;??_);_(@_)">
                  <c:v>94852.56</c:v>
                </c:pt>
                <c:pt idx="301" formatCode="_([$$-409]* #\ ##0.00_);_([$$-409]* \(#\ ##0.00\);_([$$-409]* &quot;-&quot;??_);_(@_)">
                  <c:v>94986.44</c:v>
                </c:pt>
                <c:pt idx="302" formatCode="_([$$-409]* #\ ##0.00_);_([$$-409]* \(#\ ##0.00\);_([$$-409]* &quot;-&quot;??_);_(@_)">
                  <c:v>85090.09</c:v>
                </c:pt>
                <c:pt idx="303" formatCode="_([$$-409]* #\ ##0.00_);_([$$-409]* \(#\ ##0.00\);_([$$-409]* &quot;-&quot;??_);_(@_)">
                  <c:v>85090.09</c:v>
                </c:pt>
                <c:pt idx="304" formatCode="_([$$-409]* #\ ##0.00_);_([$$-409]* \(#\ ##0.00\);_([$$-409]* &quot;-&quot;??_);_(@_)">
                  <c:v>87004.86</c:v>
                </c:pt>
                <c:pt idx="305" formatCode="_([$$-409]* #\ ##0.00_);_([$$-409]* \(#\ ##0.00\);_([$$-409]* &quot;-&quot;??_);_(@_)">
                  <c:v>89402.34</c:v>
                </c:pt>
                <c:pt idx="306" formatCode="_([$$-409]* #\ ##0.00_);_([$$-409]* \(#\ ##0.00\);_([$$-409]* &quot;-&quot;??_);_(@_)">
                  <c:v>93997.17</c:v>
                </c:pt>
                <c:pt idx="307" formatCode="_([$$-409]* #\ ##0.00_);_([$$-409]* \(#\ ##0.00\);_([$$-409]* &quot;-&quot;??_);_(@_)">
                  <c:v>96515.9</c:v>
                </c:pt>
                <c:pt idx="308" formatCode="_([$$-409]* #\ ##0.00_);_([$$-409]* \(#\ ##0.00\);_([$$-409]* &quot;-&quot;??_);_(@_)">
                  <c:v>99502.96</c:v>
                </c:pt>
                <c:pt idx="309" formatCode="_([$$-409]* #\ ##0.00_);_([$$-409]* \(#\ ##0.00\);_([$$-409]* &quot;-&quot;??_);_(@_)">
                  <c:v>99502.96</c:v>
                </c:pt>
                <c:pt idx="310" formatCode="_([$$-409]* #\ ##0.00_);_([$$-409]* \(#\ ##0.00\);_([$$-409]* &quot;-&quot;??_);_(@_)">
                  <c:v>98757.23</c:v>
                </c:pt>
                <c:pt idx="311" formatCode="_([$$-409]* #\ ##0.00_);_([$$-409]* \(#\ ##0.00\);_([$$-409]* &quot;-&quot;??_);_(@_)">
                  <c:v>96694.56</c:v>
                </c:pt>
                <c:pt idx="312" formatCode="_([$$-409]* #\ ##0.00_);_([$$-409]* \(#\ ##0.00\);_([$$-409]* &quot;-&quot;??_);_(@_)">
                  <c:v>96711.82</c:v>
                </c:pt>
                <c:pt idx="313" formatCode="_([$$-409]* #\ ##0.00_);_([$$-409]* \(#\ ##0.00\);_([$$-409]* &quot;-&quot;??_);_(@_)">
                  <c:v>97252.66</c:v>
                </c:pt>
                <c:pt idx="314" formatCode="_([$$-409]* #\ ##0.00_);_([$$-409]* \(#\ ##0.00\);_([$$-409]* &quot;-&quot;??_);_(@_)">
                  <c:v>97735.51</c:v>
                </c:pt>
                <c:pt idx="315" formatCode="_([$$-409]* #\ ##0.00_);_([$$-409]* \(#\ ##0.00\);_([$$-409]* &quot;-&quot;??_);_(@_)">
                  <c:v>98834.63</c:v>
                </c:pt>
                <c:pt idx="316" formatCode="_([$$-409]* #\ ##0.00_);_([$$-409]* \(#\ ##0.00\);_([$$-409]* &quot;-&quot;??_);_(@_)">
                  <c:v>98099.34</c:v>
                </c:pt>
                <c:pt idx="317" formatCode="_([$$-409]* #\ ##0.00_);_([$$-409]* \(#\ ##0.00\);_([$$-409]* &quot;-&quot;??_);_(@_)">
                  <c:v>97925.73</c:v>
                </c:pt>
                <c:pt idx="318" formatCode="_([$$-409]* #\ ##0.00_);_([$$-409]* \(#\ ##0.00\);_([$$-409]* &quot;-&quot;??_);_(@_)">
                  <c:v>98497.52</c:v>
                </c:pt>
                <c:pt idx="319" formatCode="_([$$-409]* #\ ##0.00_);_([$$-409]* \(#\ ##0.00\);_([$$-409]* &quot;-&quot;??_);_(@_)">
                  <c:v>98347.49</c:v>
                </c:pt>
                <c:pt idx="320" formatCode="_([$$-409]* #\ ##0.00_);_([$$-409]* \(#\ ##0.00\);_([$$-409]* &quot;-&quot;??_);_(@_)">
                  <c:v>2.5057999999999998</c:v>
                </c:pt>
                <c:pt idx="321" formatCode="_([$$-409]* #\ ##0.00_);_([$$-409]* \(#\ ##0.00\);_([$$-409]* &quot;-&quot;??_);_(@_)">
                  <c:v>100189.08</c:v>
                </c:pt>
                <c:pt idx="322" formatCode="_([$$-409]* #\ ##0.00_);_([$$-409]* \(#\ ##0.00\);_([$$-409]* &quot;-&quot;??_);_(@_)">
                  <c:v>100189.08</c:v>
                </c:pt>
                <c:pt idx="323" formatCode="_([$$-409]* #\ ##0.00_);_([$$-409]* \(#\ ##0.00\);_([$$-409]* &quot;-&quot;??_);_(@_)">
                  <c:v>99167.41</c:v>
                </c:pt>
                <c:pt idx="324" formatCode="_([$$-409]* #\ ##0.00_);_([$$-409]* \(#\ ##0.00\);_([$$-409]* &quot;-&quot;??_);_(@_)">
                  <c:v>99143.81</c:v>
                </c:pt>
                <c:pt idx="325" formatCode="_([$$-409]* #\ ##0.00_);_([$$-409]* \(#\ ##0.00\);_([$$-409]* &quot;-&quot;??_);_(@_)">
                  <c:v>102523.41</c:v>
                </c:pt>
                <c:pt idx="326" formatCode="_([$$-409]* #\ ##0.00_);_([$$-409]* \(#\ ##0.00\);_([$$-409]* &quot;-&quot;??_);_(@_)">
                  <c:v>102046.86</c:v>
                </c:pt>
                <c:pt idx="327" formatCode="_([$$-409]* #\ ##0.00_);_([$$-409]* \(#\ ##0.00\);_([$$-409]* &quot;-&quot;??_);_(@_)">
                  <c:v>101448.31</c:v>
                </c:pt>
                <c:pt idx="328" formatCode="_([$$-409]* #\ ##0.00_);_([$$-409]* \(#\ ##0.00\);_([$$-409]* &quot;-&quot;??_);_(@_)">
                  <c:v>106016.94</c:v>
                </c:pt>
                <c:pt idx="329" formatCode="_([$$-409]* #\ ##0.00_);_([$$-409]* \(#\ ##0.00\);_([$$-409]* &quot;-&quot;??_);_(@_)">
                  <c:v>106440.13</c:v>
                </c:pt>
                <c:pt idx="330" formatCode="_([$$-409]* #\ ##0.00_);_([$$-409]* \(#\ ##0.00\);_([$$-409]* &quot;-&quot;??_);_(@_)">
                  <c:v>104774.26</c:v>
                </c:pt>
                <c:pt idx="331" formatCode="_([$$-409]* #\ ##0.00_);_([$$-409]* \(#\ ##0.00\);_([$$-409]* &quot;-&quot;??_);_(@_)">
                  <c:v>103661.44</c:v>
                </c:pt>
                <c:pt idx="332" formatCode="_([$$-409]* #\ ##0.00_);_([$$-409]* \(#\ ##0.00\);_([$$-409]* &quot;-&quot;??_);_(@_)">
                  <c:v>105226.44</c:v>
                </c:pt>
                <c:pt idx="333" formatCode="_([$$-409]* #\ ##0.00_);_([$$-409]* \(#\ ##0.00\);_([$$-409]* &quot;-&quot;??_);_(@_)">
                  <c:v>105432.46</c:v>
                </c:pt>
                <c:pt idx="334" formatCode="_([$$-409]* #\ ##0.00_);_([$$-409]* \(#\ ##0.00\);_([$$-409]* &quot;-&quot;??_);_(@_)">
                  <c:v>107114.53</c:v>
                </c:pt>
                <c:pt idx="335" formatCode="_([$$-409]* #\ ##0.00_);_([$$-409]* \(#\ ##0.00\);_([$$-409]* &quot;-&quot;??_);_(@_)">
                  <c:v>107114.53</c:v>
                </c:pt>
                <c:pt idx="336" formatCode="_([$$-409]* #\ ##0.00_);_([$$-409]* \(#\ ##0.00\);_([$$-409]* &quot;-&quot;??_);_(@_)">
                  <c:v>106781.49</c:v>
                </c:pt>
                <c:pt idx="337" formatCode="_([$$-409]* #\ ##0.00_);_([$$-409]* \(#\ ##0.00\);_([$$-409]* &quot;-&quot;??_);_(@_)">
                  <c:v>106769.18</c:v>
                </c:pt>
                <c:pt idx="338" formatCode="_([$$-409]* #\ ##0.00_);_([$$-409]* \(#\ ##0.00\);_([$$-409]* &quot;-&quot;??_);_(@_)">
                  <c:v>107201.71</c:v>
                </c:pt>
                <c:pt idx="339" formatCode="_([$$-409]* #\ ##0.00_);_([$$-409]* \(#\ ##0.00\);_([$$-409]* &quot;-&quot;??_);_(@_)">
                  <c:v>109071.86</c:v>
                </c:pt>
                <c:pt idx="340" formatCode="_([$$-409]* #\ ##0.00_);_([$$-409]* \(#\ ##0.00\);_([$$-409]* &quot;-&quot;??_);_(@_)">
                  <c:v>106258.54</c:v>
                </c:pt>
                <c:pt idx="341" formatCode="_([$$-409]* #\ ##0.00_);_([$$-409]* \(#\ ##0.00\);_([$$-409]* &quot;-&quot;??_);_(@_)">
                  <c:v>105878.27</c:v>
                </c:pt>
                <c:pt idx="342" formatCode="_([$$-409]* #\ ##0.00_);_([$$-409]* \(#\ ##0.00\);_([$$-409]* &quot;-&quot;??_);_(@_)">
                  <c:v>105878.27</c:v>
                </c:pt>
                <c:pt idx="343" formatCode="_([$$-409]* #\ ##0.00_);_([$$-409]* \(#\ ##0.00\);_([$$-409]* &quot;-&quot;??_);_(@_)">
                  <c:v>100805.52</c:v>
                </c:pt>
                <c:pt idx="344" formatCode="_([$$-409]* #\ ##0.00_);_([$$-409]* \(#\ ##0.00\);_([$$-409]* &quot;-&quot;??_);_(@_)">
                  <c:v>100683.32</c:v>
                </c:pt>
                <c:pt idx="345" formatCode="_([$$-409]* #\ ##0.00_);_([$$-409]* \(#\ ##0.00\);_([$$-409]* &quot;-&quot;??_);_(@_)">
                  <c:v>97347.18</c:v>
                </c:pt>
                <c:pt idx="346" formatCode="_([$$-409]* #\ ##0.00_);_([$$-409]* \(#\ ##0.00\);_([$$-409]* &quot;-&quot;??_);_(@_)">
                  <c:v>95855.45</c:v>
                </c:pt>
                <c:pt idx="347" formatCode="_([$$-409]* #\ ##0.00_);_([$$-409]* \(#\ ##0.00\);_([$$-409]* &quot;-&quot;??_);_(@_)">
                  <c:v>95361.72</c:v>
                </c:pt>
                <c:pt idx="348" formatCode="_([$$-409]* #\ ##0.00_);_([$$-409]* \(#\ ##0.00\);_([$$-409]* &quot;-&quot;??_);_(@_)">
                  <c:v>95787.41</c:v>
                </c:pt>
                <c:pt idx="349" formatCode="_([$$-409]* #\ ##0.00_);_([$$-409]* \(#\ ##0.00\);_([$$-409]* &quot;-&quot;??_);_(@_)">
                  <c:v>95787.41</c:v>
                </c:pt>
                <c:pt idx="350" formatCode="_([$$-409]* #\ ##0.00_);_([$$-409]* \(#\ ##0.00\);_([$$-409]* &quot;-&quot;??_);_(@_)">
                  <c:v>95330.47</c:v>
                </c:pt>
                <c:pt idx="351" formatCode="_([$$-409]* #\ ##0.00_);_([$$-409]* \(#\ ##0.00\);_([$$-409]* &quot;-&quot;??_);_(@_)">
                  <c:v>97265.85</c:v>
                </c:pt>
                <c:pt idx="352" formatCode="_([$$-409]* #\ ##0.00_);_([$$-409]* \(#\ ##0.00\);_([$$-409]* &quot;-&quot;??_);_(@_)">
                  <c:v>102714.45</c:v>
                </c:pt>
                <c:pt idx="353" formatCode="_([$$-409]* #\ ##0.00_);_([$$-409]* \(#\ ##0.00\);_([$$-409]* &quot;-&quot;??_);_(@_)">
                  <c:v>102498.95</c:v>
                </c:pt>
                <c:pt idx="354" formatCode="_([$$-409]* #\ ##0.00_);_([$$-409]* \(#\ ##0.00\);_([$$-409]* &quot;-&quot;??_);_(@_)">
                  <c:v>98481.4</c:v>
                </c:pt>
                <c:pt idx="355" formatCode="_([$$-409]* #\ ##0.00_);_([$$-409]* \(#\ ##0.00\);_([$$-409]* &quot;-&quot;??_);_(@_)">
                  <c:v>98984.55</c:v>
                </c:pt>
                <c:pt idx="356" formatCode="_([$$-409]* #\ ##0.00_);_([$$-409]* \(#\ ##0.00\);_([$$-409]* &quot;-&quot;??_);_(@_)">
                  <c:v>98984.55</c:v>
                </c:pt>
                <c:pt idx="357" formatCode="_([$$-409]* #\ ##0.00_);_([$$-409]* \(#\ ##0.00\);_([$$-409]* &quot;-&quot;??_);_(@_)">
                  <c:v>97744.01</c:v>
                </c:pt>
                <c:pt idx="358" formatCode="_([$$-409]* #\ ##0.00_);_([$$-409]* \(#\ ##0.00\);_([$$-409]* &quot;-&quot;??_);_(@_)">
                  <c:v>95031.14</c:v>
                </c:pt>
                <c:pt idx="359" formatCode="_([$$-409]* #\ ##0.00_);_([$$-409]* \(#\ ##0.00\);_([$$-409]* &quot;-&quot;??_);_(@_)">
                  <c:v>96196.45</c:v>
                </c:pt>
                <c:pt idx="360" formatCode="_([$$-409]* #\ ##0.00_);_([$$-409]* \(#\ ##0.00\);_([$$-409]* &quot;-&quot;??_);_(@_)">
                  <c:v>95007.72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61-3945-826A-00A7357DACBF}"/>
            </c:ext>
          </c:extLst>
        </c:ser>
        <c:ser>
          <c:idx val="2"/>
          <c:order val="2"/>
          <c:tx>
            <c:strRef>
              <c:f>'Present Values'!$D$9</c:f>
              <c:strCache>
                <c:ptCount val="1"/>
                <c:pt idx="0">
                  <c:v> Low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'Present Values'!$A$8:$A$368</c:f>
              <c:strCache>
                <c:ptCount val="361"/>
                <c:pt idx="1">
                  <c:v>Date</c:v>
                </c:pt>
                <c:pt idx="2">
                  <c:v>28/12/2025</c:v>
                </c:pt>
                <c:pt idx="3">
                  <c:v>27/12/2025</c:v>
                </c:pt>
                <c:pt idx="4">
                  <c:v>26/12/2025</c:v>
                </c:pt>
                <c:pt idx="5">
                  <c:v>25/12/2025</c:v>
                </c:pt>
                <c:pt idx="6">
                  <c:v>24/12/2025</c:v>
                </c:pt>
                <c:pt idx="7">
                  <c:v>23/12/2025</c:v>
                </c:pt>
                <c:pt idx="8">
                  <c:v>22/12/2025</c:v>
                </c:pt>
                <c:pt idx="9">
                  <c:v>21/12/2025</c:v>
                </c:pt>
                <c:pt idx="10">
                  <c:v>20/12/2025</c:v>
                </c:pt>
                <c:pt idx="11">
                  <c:v>19/12/2025</c:v>
                </c:pt>
                <c:pt idx="12">
                  <c:v>18/12/2025</c:v>
                </c:pt>
                <c:pt idx="13">
                  <c:v>17/12/2025</c:v>
                </c:pt>
                <c:pt idx="14">
                  <c:v>16/12/2025</c:v>
                </c:pt>
                <c:pt idx="15">
                  <c:v>15/12/2025</c:v>
                </c:pt>
                <c:pt idx="16">
                  <c:v>14/12/2025</c:v>
                </c:pt>
                <c:pt idx="17">
                  <c:v>13/12/2025</c:v>
                </c:pt>
                <c:pt idx="18">
                  <c:v>12/12/2025</c:v>
                </c:pt>
                <c:pt idx="19">
                  <c:v>11/12/2025</c:v>
                </c:pt>
                <c:pt idx="20">
                  <c:v>10/12/2025</c:v>
                </c:pt>
                <c:pt idx="21">
                  <c:v>09/12/2025</c:v>
                </c:pt>
                <c:pt idx="22">
                  <c:v>08/12/2025</c:v>
                </c:pt>
                <c:pt idx="23">
                  <c:v>07/12/2025</c:v>
                </c:pt>
                <c:pt idx="24">
                  <c:v>06/12/2025</c:v>
                </c:pt>
                <c:pt idx="25">
                  <c:v>05/12/2025</c:v>
                </c:pt>
                <c:pt idx="26">
                  <c:v>04/12/2025</c:v>
                </c:pt>
                <c:pt idx="27">
                  <c:v>03/12/2025</c:v>
                </c:pt>
                <c:pt idx="28">
                  <c:v>02/12/2025</c:v>
                </c:pt>
                <c:pt idx="29">
                  <c:v>01/12/2025</c:v>
                </c:pt>
                <c:pt idx="30">
                  <c:v>30/11/2025</c:v>
                </c:pt>
                <c:pt idx="31">
                  <c:v>29/11/2025</c:v>
                </c:pt>
                <c:pt idx="32">
                  <c:v>28/11/2025</c:v>
                </c:pt>
                <c:pt idx="33">
                  <c:v>27/11/2025</c:v>
                </c:pt>
                <c:pt idx="34">
                  <c:v>26/11/2025</c:v>
                </c:pt>
                <c:pt idx="35">
                  <c:v>25/11/2025</c:v>
                </c:pt>
                <c:pt idx="36">
                  <c:v>24/11/2025</c:v>
                </c:pt>
                <c:pt idx="37">
                  <c:v>23/11/2025</c:v>
                </c:pt>
                <c:pt idx="38">
                  <c:v>22/11/2025</c:v>
                </c:pt>
                <c:pt idx="39">
                  <c:v>21/11/2025</c:v>
                </c:pt>
                <c:pt idx="40">
                  <c:v>20/11/2025</c:v>
                </c:pt>
                <c:pt idx="41">
                  <c:v>19/11/2025</c:v>
                </c:pt>
                <c:pt idx="42">
                  <c:v>18/11/2025</c:v>
                </c:pt>
                <c:pt idx="43">
                  <c:v>17/11/2025</c:v>
                </c:pt>
                <c:pt idx="44">
                  <c:v>16/11/2025</c:v>
                </c:pt>
                <c:pt idx="45">
                  <c:v>15/11/2025</c:v>
                </c:pt>
                <c:pt idx="46">
                  <c:v>14/11/2025</c:v>
                </c:pt>
                <c:pt idx="47">
                  <c:v>13/11/2025</c:v>
                </c:pt>
                <c:pt idx="48">
                  <c:v>12/11/2025</c:v>
                </c:pt>
                <c:pt idx="49">
                  <c:v>11/11/2025</c:v>
                </c:pt>
                <c:pt idx="50">
                  <c:v>10/11/2025</c:v>
                </c:pt>
                <c:pt idx="51">
                  <c:v>09/11/2025</c:v>
                </c:pt>
                <c:pt idx="52">
                  <c:v>08/11/2025</c:v>
                </c:pt>
                <c:pt idx="53">
                  <c:v>07/11/2025</c:v>
                </c:pt>
                <c:pt idx="54">
                  <c:v>06/11/2025</c:v>
                </c:pt>
                <c:pt idx="55">
                  <c:v>05/11/2025</c:v>
                </c:pt>
                <c:pt idx="56">
                  <c:v>04/11/2025</c:v>
                </c:pt>
                <c:pt idx="57">
                  <c:v>03/11/2025</c:v>
                </c:pt>
                <c:pt idx="58">
                  <c:v>02/11/2025</c:v>
                </c:pt>
                <c:pt idx="59">
                  <c:v>31/10/2025</c:v>
                </c:pt>
                <c:pt idx="60">
                  <c:v>30/10/2025</c:v>
                </c:pt>
                <c:pt idx="61">
                  <c:v>29/10/2025</c:v>
                </c:pt>
                <c:pt idx="62">
                  <c:v>28/10/2025</c:v>
                </c:pt>
                <c:pt idx="63">
                  <c:v>27/10/2025</c:v>
                </c:pt>
                <c:pt idx="64">
                  <c:v>26/10/2025</c:v>
                </c:pt>
                <c:pt idx="65">
                  <c:v>25/10/2025</c:v>
                </c:pt>
                <c:pt idx="66">
                  <c:v>24/10/2025</c:v>
                </c:pt>
                <c:pt idx="67">
                  <c:v>23/10/2025</c:v>
                </c:pt>
                <c:pt idx="68">
                  <c:v>22/10/2025</c:v>
                </c:pt>
                <c:pt idx="69">
                  <c:v>21/10/2025</c:v>
                </c:pt>
                <c:pt idx="70">
                  <c:v>20/10/2025</c:v>
                </c:pt>
                <c:pt idx="71">
                  <c:v>18/10/2025</c:v>
                </c:pt>
                <c:pt idx="72">
                  <c:v>17/10/2025</c:v>
                </c:pt>
                <c:pt idx="73">
                  <c:v>16/10/2025</c:v>
                </c:pt>
                <c:pt idx="74">
                  <c:v>15/10/2025</c:v>
                </c:pt>
                <c:pt idx="75">
                  <c:v>14/10/2025</c:v>
                </c:pt>
                <c:pt idx="76">
                  <c:v>13/10/2025</c:v>
                </c:pt>
                <c:pt idx="77">
                  <c:v>12/10/2025</c:v>
                </c:pt>
                <c:pt idx="78">
                  <c:v>11/10/2025</c:v>
                </c:pt>
                <c:pt idx="79">
                  <c:v>10/10/2025</c:v>
                </c:pt>
                <c:pt idx="80">
                  <c:v>09/10/2025</c:v>
                </c:pt>
                <c:pt idx="81">
                  <c:v>08/10/2025</c:v>
                </c:pt>
                <c:pt idx="82">
                  <c:v>07/10/2025</c:v>
                </c:pt>
                <c:pt idx="83">
                  <c:v>06/10/2025</c:v>
                </c:pt>
                <c:pt idx="84">
                  <c:v>05/10/2025</c:v>
                </c:pt>
                <c:pt idx="85">
                  <c:v>04/10/2025</c:v>
                </c:pt>
                <c:pt idx="86">
                  <c:v>03/10/2025</c:v>
                </c:pt>
                <c:pt idx="87">
                  <c:v>02/10/2025</c:v>
                </c:pt>
                <c:pt idx="88">
                  <c:v>01/10/2025</c:v>
                </c:pt>
                <c:pt idx="89">
                  <c:v>30/09/2025</c:v>
                </c:pt>
                <c:pt idx="90">
                  <c:v>29/09/2025</c:v>
                </c:pt>
                <c:pt idx="91">
                  <c:v>28/09/2025</c:v>
                </c:pt>
                <c:pt idx="92">
                  <c:v>27/09/2025</c:v>
                </c:pt>
                <c:pt idx="93">
                  <c:v>26/09/2025</c:v>
                </c:pt>
                <c:pt idx="94">
                  <c:v>25/09/2025</c:v>
                </c:pt>
                <c:pt idx="95">
                  <c:v>24/09/2025</c:v>
                </c:pt>
                <c:pt idx="96">
                  <c:v>23/09/2025</c:v>
                </c:pt>
                <c:pt idx="97">
                  <c:v>22/09/2025</c:v>
                </c:pt>
                <c:pt idx="98">
                  <c:v>21/09/2025</c:v>
                </c:pt>
                <c:pt idx="99">
                  <c:v>20/09/2025</c:v>
                </c:pt>
                <c:pt idx="100">
                  <c:v>19/09/2025</c:v>
                </c:pt>
                <c:pt idx="101">
                  <c:v>18/09/2025</c:v>
                </c:pt>
                <c:pt idx="102">
                  <c:v>17/09/2025</c:v>
                </c:pt>
                <c:pt idx="103">
                  <c:v>16/09/2025</c:v>
                </c:pt>
                <c:pt idx="104">
                  <c:v>15/09/2025</c:v>
                </c:pt>
                <c:pt idx="105">
                  <c:v>14/09/2025</c:v>
                </c:pt>
                <c:pt idx="106">
                  <c:v>13/09/2025</c:v>
                </c:pt>
                <c:pt idx="107">
                  <c:v>12/09/2025</c:v>
                </c:pt>
                <c:pt idx="108">
                  <c:v>11/09/2025</c:v>
                </c:pt>
                <c:pt idx="109">
                  <c:v>10/09/2025</c:v>
                </c:pt>
                <c:pt idx="110">
                  <c:v>09/09/2025</c:v>
                </c:pt>
                <c:pt idx="111">
                  <c:v>08/09/2025</c:v>
                </c:pt>
                <c:pt idx="112">
                  <c:v>07/09/2025</c:v>
                </c:pt>
                <c:pt idx="113">
                  <c:v>06/09/2025</c:v>
                </c:pt>
                <c:pt idx="114">
                  <c:v>05/09/2025</c:v>
                </c:pt>
                <c:pt idx="115">
                  <c:v>04/09/2025</c:v>
                </c:pt>
                <c:pt idx="116">
                  <c:v>03/09/2025</c:v>
                </c:pt>
                <c:pt idx="117">
                  <c:v>02/09/2025</c:v>
                </c:pt>
                <c:pt idx="118">
                  <c:v>01/09/2025</c:v>
                </c:pt>
                <c:pt idx="119">
                  <c:v>31/08/2025</c:v>
                </c:pt>
                <c:pt idx="120">
                  <c:v>30/08/2025</c:v>
                </c:pt>
                <c:pt idx="121">
                  <c:v>29/08/2025</c:v>
                </c:pt>
                <c:pt idx="122">
                  <c:v>28/08/2025</c:v>
                </c:pt>
                <c:pt idx="123">
                  <c:v>27/08/2025</c:v>
                </c:pt>
                <c:pt idx="124">
                  <c:v>26/08/2025</c:v>
                </c:pt>
                <c:pt idx="125">
                  <c:v>25/08/2025</c:v>
                </c:pt>
                <c:pt idx="126">
                  <c:v>24/08/2025</c:v>
                </c:pt>
                <c:pt idx="127">
                  <c:v>23/08/2025</c:v>
                </c:pt>
                <c:pt idx="128">
                  <c:v>22/08/2025</c:v>
                </c:pt>
                <c:pt idx="129">
                  <c:v>21/08/2025</c:v>
                </c:pt>
                <c:pt idx="130">
                  <c:v>20/08/2025</c:v>
                </c:pt>
                <c:pt idx="131">
                  <c:v>19/08/2025</c:v>
                </c:pt>
                <c:pt idx="132">
                  <c:v>18/08/2025</c:v>
                </c:pt>
                <c:pt idx="133">
                  <c:v>17/08/2025</c:v>
                </c:pt>
                <c:pt idx="134">
                  <c:v>16/08/2025</c:v>
                </c:pt>
                <c:pt idx="135">
                  <c:v>15/08/2025</c:v>
                </c:pt>
                <c:pt idx="136">
                  <c:v>14/08/2025</c:v>
                </c:pt>
                <c:pt idx="137">
                  <c:v>13/08/2025</c:v>
                </c:pt>
                <c:pt idx="138">
                  <c:v>12/08/2025</c:v>
                </c:pt>
                <c:pt idx="139">
                  <c:v>11/08/2025</c:v>
                </c:pt>
                <c:pt idx="140">
                  <c:v>10/08/2025</c:v>
                </c:pt>
                <c:pt idx="141">
                  <c:v>09/08/2025</c:v>
                </c:pt>
                <c:pt idx="142">
                  <c:v>08/08/2025</c:v>
                </c:pt>
                <c:pt idx="143">
                  <c:v>07/08/2025</c:v>
                </c:pt>
                <c:pt idx="144">
                  <c:v>06/08/2025</c:v>
                </c:pt>
                <c:pt idx="145">
                  <c:v>05/08/2025</c:v>
                </c:pt>
                <c:pt idx="146">
                  <c:v>04/08/2025</c:v>
                </c:pt>
                <c:pt idx="147">
                  <c:v>03/08/2025</c:v>
                </c:pt>
                <c:pt idx="148">
                  <c:v>02/08/2025</c:v>
                </c:pt>
                <c:pt idx="149">
                  <c:v>01/08/2025</c:v>
                </c:pt>
                <c:pt idx="150">
                  <c:v>31/07/2025</c:v>
                </c:pt>
                <c:pt idx="151">
                  <c:v>30/07/2025</c:v>
                </c:pt>
                <c:pt idx="152">
                  <c:v>29/07/2025</c:v>
                </c:pt>
                <c:pt idx="153">
                  <c:v>28/07/2025</c:v>
                </c:pt>
                <c:pt idx="154">
                  <c:v>27/07/2025</c:v>
                </c:pt>
                <c:pt idx="155">
                  <c:v>26/07/2025</c:v>
                </c:pt>
                <c:pt idx="156">
                  <c:v>25/07/2025</c:v>
                </c:pt>
                <c:pt idx="157">
                  <c:v>24/07/2025</c:v>
                </c:pt>
                <c:pt idx="158">
                  <c:v>23/07/2025</c:v>
                </c:pt>
                <c:pt idx="159">
                  <c:v>22/07/2025</c:v>
                </c:pt>
                <c:pt idx="160">
                  <c:v>21/07/2025</c:v>
                </c:pt>
                <c:pt idx="161">
                  <c:v>20/07/2025</c:v>
                </c:pt>
                <c:pt idx="162">
                  <c:v>19/07/2025</c:v>
                </c:pt>
                <c:pt idx="163">
                  <c:v>18/07/2025</c:v>
                </c:pt>
                <c:pt idx="164">
                  <c:v>17/07/2025</c:v>
                </c:pt>
                <c:pt idx="165">
                  <c:v>16/07/2025</c:v>
                </c:pt>
                <c:pt idx="166">
                  <c:v>15/07/2025</c:v>
                </c:pt>
                <c:pt idx="167">
                  <c:v>14/07/2025</c:v>
                </c:pt>
                <c:pt idx="168">
                  <c:v>13/07/2025</c:v>
                </c:pt>
                <c:pt idx="169">
                  <c:v>12/07/2025</c:v>
                </c:pt>
                <c:pt idx="170">
                  <c:v>11/07/2025</c:v>
                </c:pt>
                <c:pt idx="171">
                  <c:v>10/07/2025</c:v>
                </c:pt>
                <c:pt idx="172">
                  <c:v>09/07/2025</c:v>
                </c:pt>
                <c:pt idx="173">
                  <c:v>08/07/2025</c:v>
                </c:pt>
                <c:pt idx="174">
                  <c:v>07/07/2025</c:v>
                </c:pt>
                <c:pt idx="175">
                  <c:v>06/07/2025</c:v>
                </c:pt>
                <c:pt idx="176">
                  <c:v>05/07/2025</c:v>
                </c:pt>
                <c:pt idx="177">
                  <c:v>04/07/2025</c:v>
                </c:pt>
                <c:pt idx="178">
                  <c:v>03/07/2025</c:v>
                </c:pt>
                <c:pt idx="179">
                  <c:v>02/07/2025</c:v>
                </c:pt>
                <c:pt idx="180">
                  <c:v>01/07/2025</c:v>
                </c:pt>
                <c:pt idx="181">
                  <c:v>30/06/2025</c:v>
                </c:pt>
                <c:pt idx="182">
                  <c:v>29/06/2025</c:v>
                </c:pt>
                <c:pt idx="183">
                  <c:v>28/06/2025</c:v>
                </c:pt>
                <c:pt idx="184">
                  <c:v>27/06/2025</c:v>
                </c:pt>
                <c:pt idx="185">
                  <c:v>26/06/2025</c:v>
                </c:pt>
                <c:pt idx="186">
                  <c:v>25/06/2025</c:v>
                </c:pt>
                <c:pt idx="187">
                  <c:v>24/06/2025</c:v>
                </c:pt>
                <c:pt idx="188">
                  <c:v>23/06/2025</c:v>
                </c:pt>
                <c:pt idx="189">
                  <c:v>22/06/2025</c:v>
                </c:pt>
                <c:pt idx="190">
                  <c:v>21/06/2025</c:v>
                </c:pt>
                <c:pt idx="191">
                  <c:v>20/06/2025</c:v>
                </c:pt>
                <c:pt idx="192">
                  <c:v>19/06/2025</c:v>
                </c:pt>
                <c:pt idx="193">
                  <c:v>18/06/2025</c:v>
                </c:pt>
                <c:pt idx="194">
                  <c:v>17/06/2025</c:v>
                </c:pt>
                <c:pt idx="195">
                  <c:v>16/06/2025</c:v>
                </c:pt>
                <c:pt idx="196">
                  <c:v>15/06/2025</c:v>
                </c:pt>
                <c:pt idx="197">
                  <c:v>14/06/2025</c:v>
                </c:pt>
                <c:pt idx="198">
                  <c:v>13/06/2025</c:v>
                </c:pt>
                <c:pt idx="199">
                  <c:v>12/06/2025</c:v>
                </c:pt>
                <c:pt idx="200">
                  <c:v>11/06/2025</c:v>
                </c:pt>
                <c:pt idx="201">
                  <c:v>10/06/2025</c:v>
                </c:pt>
                <c:pt idx="202">
                  <c:v>09/06/2025</c:v>
                </c:pt>
                <c:pt idx="203">
                  <c:v>08/06/2025</c:v>
                </c:pt>
                <c:pt idx="204">
                  <c:v>07/06/2025</c:v>
                </c:pt>
                <c:pt idx="205">
                  <c:v>06/06/2025</c:v>
                </c:pt>
                <c:pt idx="206">
                  <c:v>05/06/2025</c:v>
                </c:pt>
                <c:pt idx="207">
                  <c:v>04/06/2025</c:v>
                </c:pt>
                <c:pt idx="208">
                  <c:v>03/06/2025</c:v>
                </c:pt>
                <c:pt idx="209">
                  <c:v>02/06/2025</c:v>
                </c:pt>
                <c:pt idx="210">
                  <c:v>01/06/2025</c:v>
                </c:pt>
                <c:pt idx="211">
                  <c:v>31/05/2025</c:v>
                </c:pt>
                <c:pt idx="212">
                  <c:v>30/05/2025</c:v>
                </c:pt>
                <c:pt idx="213">
                  <c:v>29/05/2025</c:v>
                </c:pt>
                <c:pt idx="214">
                  <c:v>28/05/2025</c:v>
                </c:pt>
                <c:pt idx="215">
                  <c:v>27/05/2025</c:v>
                </c:pt>
                <c:pt idx="216">
                  <c:v>26/05/2025</c:v>
                </c:pt>
                <c:pt idx="217">
                  <c:v>25/05/2025</c:v>
                </c:pt>
                <c:pt idx="218">
                  <c:v>24/05/2025</c:v>
                </c:pt>
                <c:pt idx="219">
                  <c:v>23/05/2025</c:v>
                </c:pt>
                <c:pt idx="220">
                  <c:v>22/05/2025</c:v>
                </c:pt>
                <c:pt idx="221">
                  <c:v>21/05/2025</c:v>
                </c:pt>
                <c:pt idx="222">
                  <c:v>20/05/2025</c:v>
                </c:pt>
                <c:pt idx="223">
                  <c:v>19/05/2025</c:v>
                </c:pt>
                <c:pt idx="224">
                  <c:v>18/05/2025</c:v>
                </c:pt>
                <c:pt idx="225">
                  <c:v>17/05/2025</c:v>
                </c:pt>
                <c:pt idx="226">
                  <c:v>16/05/2025</c:v>
                </c:pt>
                <c:pt idx="227">
                  <c:v>15/05/2025</c:v>
                </c:pt>
                <c:pt idx="228">
                  <c:v>14/05/2025</c:v>
                </c:pt>
                <c:pt idx="229">
                  <c:v>13/05/2025</c:v>
                </c:pt>
                <c:pt idx="230">
                  <c:v>12/05/2025</c:v>
                </c:pt>
                <c:pt idx="231">
                  <c:v>11/05/2025</c:v>
                </c:pt>
                <c:pt idx="232">
                  <c:v>10/05/2025</c:v>
                </c:pt>
                <c:pt idx="233">
                  <c:v>09/05/2025</c:v>
                </c:pt>
                <c:pt idx="234">
                  <c:v>08/05/2025</c:v>
                </c:pt>
                <c:pt idx="235">
                  <c:v>07/05/2025</c:v>
                </c:pt>
                <c:pt idx="236">
                  <c:v>06/05/2025</c:v>
                </c:pt>
                <c:pt idx="237">
                  <c:v>05/05/2025</c:v>
                </c:pt>
                <c:pt idx="238">
                  <c:v>04/05/2025</c:v>
                </c:pt>
                <c:pt idx="239">
                  <c:v>03/05/2025</c:v>
                </c:pt>
                <c:pt idx="240">
                  <c:v>02/05/2025</c:v>
                </c:pt>
                <c:pt idx="241">
                  <c:v>01/05/2025</c:v>
                </c:pt>
                <c:pt idx="242">
                  <c:v>30/04/2025</c:v>
                </c:pt>
                <c:pt idx="243">
                  <c:v>29/04/2025</c:v>
                </c:pt>
                <c:pt idx="244">
                  <c:v>28/04/2025</c:v>
                </c:pt>
                <c:pt idx="245">
                  <c:v>27/04/2025</c:v>
                </c:pt>
                <c:pt idx="246">
                  <c:v>26/04/2025</c:v>
                </c:pt>
                <c:pt idx="247">
                  <c:v>25/04/2025</c:v>
                </c:pt>
                <c:pt idx="248">
                  <c:v>24/04/2025</c:v>
                </c:pt>
                <c:pt idx="249">
                  <c:v>23/04/2025</c:v>
                </c:pt>
                <c:pt idx="250">
                  <c:v>22/04/2025</c:v>
                </c:pt>
                <c:pt idx="251">
                  <c:v>21/04/2025</c:v>
                </c:pt>
                <c:pt idx="252">
                  <c:v>20/04/2025</c:v>
                </c:pt>
                <c:pt idx="253">
                  <c:v>19/04/2025</c:v>
                </c:pt>
                <c:pt idx="254">
                  <c:v>18/04/2025</c:v>
                </c:pt>
                <c:pt idx="255">
                  <c:v>17/04/2025</c:v>
                </c:pt>
                <c:pt idx="256">
                  <c:v>16/04/2025</c:v>
                </c:pt>
                <c:pt idx="257">
                  <c:v>15/04/2025</c:v>
                </c:pt>
                <c:pt idx="258">
                  <c:v>14/04/2025</c:v>
                </c:pt>
                <c:pt idx="259">
                  <c:v>13/04/2025</c:v>
                </c:pt>
                <c:pt idx="260">
                  <c:v>12/04/2025</c:v>
                </c:pt>
                <c:pt idx="261">
                  <c:v>11/04/2025</c:v>
                </c:pt>
                <c:pt idx="262">
                  <c:v>10/04/2025</c:v>
                </c:pt>
                <c:pt idx="263">
                  <c:v>09/04/2025</c:v>
                </c:pt>
                <c:pt idx="264">
                  <c:v>08/04/2025</c:v>
                </c:pt>
                <c:pt idx="265">
                  <c:v>07/04/2025</c:v>
                </c:pt>
                <c:pt idx="266">
                  <c:v>06/04/2025</c:v>
                </c:pt>
                <c:pt idx="267">
                  <c:v>05/04/2025</c:v>
                </c:pt>
                <c:pt idx="268">
                  <c:v>04/04/2025</c:v>
                </c:pt>
                <c:pt idx="269">
                  <c:v>03/04/2025</c:v>
                </c:pt>
                <c:pt idx="270">
                  <c:v>02/04/2025</c:v>
                </c:pt>
                <c:pt idx="271">
                  <c:v>01/04/2025</c:v>
                </c:pt>
                <c:pt idx="272">
                  <c:v>31/03/2025</c:v>
                </c:pt>
                <c:pt idx="273">
                  <c:v>30/03/2025</c:v>
                </c:pt>
                <c:pt idx="274">
                  <c:v>29/03/2025</c:v>
                </c:pt>
                <c:pt idx="275">
                  <c:v>28/03/2025</c:v>
                </c:pt>
                <c:pt idx="276">
                  <c:v>27/03/2025</c:v>
                </c:pt>
                <c:pt idx="277">
                  <c:v>26/03/2025</c:v>
                </c:pt>
                <c:pt idx="278">
                  <c:v>25/03/2025</c:v>
                </c:pt>
                <c:pt idx="279">
                  <c:v>24/03/2025</c:v>
                </c:pt>
                <c:pt idx="280">
                  <c:v>23/03/2025</c:v>
                </c:pt>
                <c:pt idx="281">
                  <c:v>22/03/2025</c:v>
                </c:pt>
                <c:pt idx="282">
                  <c:v>21/03/2025</c:v>
                </c:pt>
                <c:pt idx="283">
                  <c:v>20/03/2025</c:v>
                </c:pt>
                <c:pt idx="284">
                  <c:v>19/03/2025</c:v>
                </c:pt>
                <c:pt idx="285">
                  <c:v>18/03/2025</c:v>
                </c:pt>
                <c:pt idx="286">
                  <c:v>17/03/2025</c:v>
                </c:pt>
                <c:pt idx="287">
                  <c:v>16/03/2025</c:v>
                </c:pt>
                <c:pt idx="288">
                  <c:v>15/03/2025</c:v>
                </c:pt>
                <c:pt idx="289">
                  <c:v>14/03/2025</c:v>
                </c:pt>
                <c:pt idx="290">
                  <c:v>13/03/2025</c:v>
                </c:pt>
                <c:pt idx="291">
                  <c:v>12/03/2025</c:v>
                </c:pt>
                <c:pt idx="292">
                  <c:v>11/03/2025</c:v>
                </c:pt>
                <c:pt idx="293">
                  <c:v>10/03/2025</c:v>
                </c:pt>
                <c:pt idx="294">
                  <c:v>09/03/2025</c:v>
                </c:pt>
                <c:pt idx="295">
                  <c:v>08/03/2025</c:v>
                </c:pt>
                <c:pt idx="296">
                  <c:v>07/03/2025</c:v>
                </c:pt>
                <c:pt idx="297">
                  <c:v>06/03/2025</c:v>
                </c:pt>
                <c:pt idx="298">
                  <c:v>05/03/2025</c:v>
                </c:pt>
                <c:pt idx="299">
                  <c:v>04/03/2025</c:v>
                </c:pt>
                <c:pt idx="300">
                  <c:v>03/03/2025</c:v>
                </c:pt>
                <c:pt idx="301">
                  <c:v>02/03/2025</c:v>
                </c:pt>
                <c:pt idx="302">
                  <c:v>01/03/2025</c:v>
                </c:pt>
                <c:pt idx="303">
                  <c:v>28/02/2025</c:v>
                </c:pt>
                <c:pt idx="304">
                  <c:v>27/02/2025</c:v>
                </c:pt>
                <c:pt idx="305">
                  <c:v>26/02/2025</c:v>
                </c:pt>
                <c:pt idx="306">
                  <c:v>25/02/2025</c:v>
                </c:pt>
                <c:pt idx="307">
                  <c:v>24/02/2025</c:v>
                </c:pt>
                <c:pt idx="308">
                  <c:v>22/02/2025</c:v>
                </c:pt>
                <c:pt idx="309">
                  <c:v>21/02/2025</c:v>
                </c:pt>
                <c:pt idx="310">
                  <c:v>20/02/2025</c:v>
                </c:pt>
                <c:pt idx="311">
                  <c:v>19/02/2025</c:v>
                </c:pt>
                <c:pt idx="312">
                  <c:v>18/02/2025</c:v>
                </c:pt>
                <c:pt idx="313">
                  <c:v>17/02/2025</c:v>
                </c:pt>
                <c:pt idx="314">
                  <c:v>16/02/2025</c:v>
                </c:pt>
                <c:pt idx="315">
                  <c:v>14/02/2025</c:v>
                </c:pt>
                <c:pt idx="316">
                  <c:v>13/02/2025</c:v>
                </c:pt>
                <c:pt idx="317">
                  <c:v>12/02/2025</c:v>
                </c:pt>
                <c:pt idx="318">
                  <c:v>11/02/2025</c:v>
                </c:pt>
                <c:pt idx="319">
                  <c:v>10/02/2025</c:v>
                </c:pt>
                <c:pt idx="320">
                  <c:v>09/02/2025</c:v>
                </c:pt>
                <c:pt idx="321">
                  <c:v>08/02/2025</c:v>
                </c:pt>
                <c:pt idx="322">
                  <c:v>07/02/2025</c:v>
                </c:pt>
                <c:pt idx="323">
                  <c:v>06/02/2025</c:v>
                </c:pt>
                <c:pt idx="324">
                  <c:v>05/02/2025</c:v>
                </c:pt>
                <c:pt idx="325">
                  <c:v>04/02/2025</c:v>
                </c:pt>
                <c:pt idx="326">
                  <c:v>03/02/2025</c:v>
                </c:pt>
                <c:pt idx="327">
                  <c:v>02/02/2025</c:v>
                </c:pt>
                <c:pt idx="328">
                  <c:v>31/01/2025</c:v>
                </c:pt>
                <c:pt idx="329">
                  <c:v>30/01/2025</c:v>
                </c:pt>
                <c:pt idx="330">
                  <c:v>29/01/2025</c:v>
                </c:pt>
                <c:pt idx="331">
                  <c:v>28/01/2025</c:v>
                </c:pt>
                <c:pt idx="332">
                  <c:v>27/01/2025</c:v>
                </c:pt>
                <c:pt idx="333">
                  <c:v>26/01/2025</c:v>
                </c:pt>
                <c:pt idx="334">
                  <c:v>25/01/2025</c:v>
                </c:pt>
                <c:pt idx="335">
                  <c:v>24/01/2025</c:v>
                </c:pt>
                <c:pt idx="336">
                  <c:v>23/01/2025</c:v>
                </c:pt>
                <c:pt idx="337">
                  <c:v>22/01/2025</c:v>
                </c:pt>
                <c:pt idx="338">
                  <c:v>21/01/2025</c:v>
                </c:pt>
                <c:pt idx="339">
                  <c:v>20/01/2025</c:v>
                </c:pt>
                <c:pt idx="340">
                  <c:v>19/01/2025</c:v>
                </c:pt>
                <c:pt idx="341">
                  <c:v>18/01/2025</c:v>
                </c:pt>
                <c:pt idx="342">
                  <c:v>17/01/2025</c:v>
                </c:pt>
                <c:pt idx="343">
                  <c:v>16/01/2025</c:v>
                </c:pt>
                <c:pt idx="344">
                  <c:v>15/01/2025</c:v>
                </c:pt>
                <c:pt idx="345">
                  <c:v>14/01/2025</c:v>
                </c:pt>
                <c:pt idx="346">
                  <c:v>13/01/2025</c:v>
                </c:pt>
                <c:pt idx="347">
                  <c:v>12/01/2025</c:v>
                </c:pt>
                <c:pt idx="348">
                  <c:v>11/01/2025</c:v>
                </c:pt>
                <c:pt idx="349">
                  <c:v>10/01/2025</c:v>
                </c:pt>
                <c:pt idx="350">
                  <c:v>09/01/2025</c:v>
                </c:pt>
                <c:pt idx="351">
                  <c:v>08/01/2025</c:v>
                </c:pt>
                <c:pt idx="352">
                  <c:v>07/01/2025</c:v>
                </c:pt>
                <c:pt idx="353">
                  <c:v>06/01/2025</c:v>
                </c:pt>
                <c:pt idx="354">
                  <c:v>05/01/2025</c:v>
                </c:pt>
                <c:pt idx="355">
                  <c:v>04/01/2025</c:v>
                </c:pt>
                <c:pt idx="356">
                  <c:v>03/01/2025</c:v>
                </c:pt>
                <c:pt idx="357">
                  <c:v>02/01/2025</c:v>
                </c:pt>
                <c:pt idx="358">
                  <c:v>01/01/2025</c:v>
                </c:pt>
                <c:pt idx="359">
                  <c:v>31/12/2024</c:v>
                </c:pt>
                <c:pt idx="360">
                  <c:v>30/12/2024</c:v>
                </c:pt>
              </c:strCache>
            </c:strRef>
          </c:cat>
          <c:val>
            <c:numRef>
              <c:f>'Present Values'!$D$8:$D$368</c:f>
              <c:numCache>
                <c:formatCode>_([$€-2]\ * #\ ##0_);_([$€-2]\ * \(#\ ##0\);_([$€-2]\ * "-"??_);_(@_)</c:formatCode>
                <c:ptCount val="361"/>
                <c:pt idx="1">
                  <c:v>0</c:v>
                </c:pt>
                <c:pt idx="2" formatCode="_([$$-409]* #\ ##0.00_);_([$$-409]* \(#\ ##0.00\);_([$$-409]* &quot;-&quot;??_);_(@_)">
                  <c:v>87405.68</c:v>
                </c:pt>
                <c:pt idx="3" formatCode="_([$$-409]* #\ ##0.00_);_([$$-409]* \(#\ ##0.00\);_([$$-409]* &quot;-&quot;??_);_(@_)">
                  <c:v>87202.34</c:v>
                </c:pt>
                <c:pt idx="4" formatCode="_([$$-409]* #\ ##0.00_);_([$$-409]* \(#\ ##0.00\);_([$$-409]* &quot;-&quot;??_);_(@_)">
                  <c:v>86637.23</c:v>
                </c:pt>
                <c:pt idx="5" formatCode="_([$$-409]* #\ ##0.00_);_([$$-409]* \(#\ ##0.00\);_([$$-409]* &quot;-&quot;??_);_(@_)">
                  <c:v>87234.21</c:v>
                </c:pt>
                <c:pt idx="6" formatCode="_([$$-409]* #\ ##0.00_);_([$$-409]* \(#\ ##0.00\);_([$$-409]* &quot;-&quot;??_);_(@_)">
                  <c:v>86414.19</c:v>
                </c:pt>
                <c:pt idx="7" formatCode="_([$$-409]* #\ ##0.00_);_([$$-409]* \(#\ ##0.00\);_([$$-409]* &quot;-&quot;??_);_(@_)">
                  <c:v>86635.199999999997</c:v>
                </c:pt>
                <c:pt idx="8" formatCode="_([$$-409]* #\ ##0.00_);_([$$-409]* \(#\ ##0.00\);_([$$-409]* &quot;-&quot;??_);_(@_)">
                  <c:v>87914.38</c:v>
                </c:pt>
                <c:pt idx="9" formatCode="_([$$-409]* #\ ##0.00_);_([$$-409]* \(#\ ##0.00\);_([$$-409]* &quot;-&quot;??_);_(@_)">
                  <c:v>87618.41</c:v>
                </c:pt>
                <c:pt idx="10" formatCode="_([$$-409]* #\ ##0.00_);_([$$-409]* \(#\ ##0.00\);_([$$-409]* &quot;-&quot;??_);_(@_)">
                  <c:v>87800.5</c:v>
                </c:pt>
                <c:pt idx="11" formatCode="_([$$-409]* #\ ##0.00_);_([$$-409]* \(#\ ##0.00\);_([$$-409]* &quot;-&quot;??_);_(@_)">
                  <c:v>85139.64</c:v>
                </c:pt>
                <c:pt idx="12" formatCode="_([$$-409]* #\ ##0.00_);_([$$-409]* \(#\ ##0.00\);_([$$-409]* &quot;-&quot;??_);_(@_)">
                  <c:v>84453.01</c:v>
                </c:pt>
                <c:pt idx="13" formatCode="_([$$-409]* #\ ##0.00_);_([$$-409]* \(#\ ##0.00\);_([$$-409]* &quot;-&quot;??_);_(@_)">
                  <c:v>85347.55</c:v>
                </c:pt>
                <c:pt idx="14" formatCode="_([$$-409]* #\ ##0.00_);_([$$-409]* \(#\ ##0.00\);_([$$-409]* &quot;-&quot;??_);_(@_)">
                  <c:v>85379.32</c:v>
                </c:pt>
                <c:pt idx="15" formatCode="_([$$-409]* #\ ##0.00_);_([$$-409]* \(#\ ##0.00\);_([$$-409]* &quot;-&quot;??_);_(@_)">
                  <c:v>85264.9</c:v>
                </c:pt>
                <c:pt idx="16" formatCode="_([$$-409]* #\ ##0.00_);_([$$-409]* \(#\ ##0.00\);_([$$-409]* &quot;-&quot;??_);_(@_)">
                  <c:v>88404.61</c:v>
                </c:pt>
                <c:pt idx="17" formatCode="_([$$-409]* #\ ##0.00_);_([$$-409]* \(#\ ##0.00\);_([$$-409]* &quot;-&quot;??_);_(@_)">
                  <c:v>89830.15</c:v>
                </c:pt>
                <c:pt idx="18" formatCode="_([$$-409]* #\ ##0.00_);_([$$-409]* \(#\ ##0.00\);_([$$-409]* &quot;-&quot;??_);_(@_)">
                  <c:v>89535.5</c:v>
                </c:pt>
                <c:pt idx="19" formatCode="_([$$-409]* #\ ##0.00_);_([$$-409]* \(#\ ##0.00\);_([$$-409]* &quot;-&quot;??_);_(@_)">
                  <c:v>89323.48</c:v>
                </c:pt>
                <c:pt idx="20" formatCode="_([$$-409]* #\ ##0.00_);_([$$-409]* \(#\ ##0.00\);_([$$-409]* &quot;-&quot;??_);_(@_)">
                  <c:v>91653.36</c:v>
                </c:pt>
                <c:pt idx="21" formatCode="_([$$-409]* #\ ##0.00_);_([$$-409]* \(#\ ##0.00\);_([$$-409]* &quot;-&quot;??_);_(@_)">
                  <c:v>89581.79</c:v>
                </c:pt>
                <c:pt idx="22" formatCode="_([$$-409]* #\ ##0.00_);_([$$-409]* \(#\ ##0.00\);_([$$-409]* &quot;-&quot;??_);_(@_)">
                  <c:v>89091.99</c:v>
                </c:pt>
                <c:pt idx="23" formatCode="_([$$-409]* #\ ##0.00_);_([$$-409]* \(#\ ##0.00\);_([$$-409]* &quot;-&quot;??_);_(@_)">
                  <c:v>87777.99</c:v>
                </c:pt>
                <c:pt idx="24" formatCode="_([$$-409]* #\ ##0.00_);_([$$-409]* \(#\ ##0.00\);_([$$-409]* &quot;-&quot;??_);_(@_)">
                  <c:v>88952.75</c:v>
                </c:pt>
                <c:pt idx="25" formatCode="_([$$-409]* #\ ##0.00_);_([$$-409]* \(#\ ##0.00\);_([$$-409]* &quot;-&quot;??_);_(@_)">
                  <c:v>88216.03</c:v>
                </c:pt>
                <c:pt idx="26" formatCode="_([$$-409]* #\ ##0.00_);_([$$-409]* \(#\ ##0.00\);_([$$-409]* &quot;-&quot;??_);_(@_)">
                  <c:v>90979.31</c:v>
                </c:pt>
                <c:pt idx="27" formatCode="_([$$-409]* #\ ##0.00_);_([$$-409]* \(#\ ##0.00\);_([$$-409]* &quot;-&quot;??_);_(@_)">
                  <c:v>91059.14</c:v>
                </c:pt>
                <c:pt idx="28" formatCode="_([$$-409]* #\ ##0.00_);_([$$-409]* \(#\ ##0.00\);_([$$-409]* &quot;-&quot;??_);_(@_)">
                  <c:v>86231.94</c:v>
                </c:pt>
                <c:pt idx="29" formatCode="_([$$-409]* #\ ##0.00_);_([$$-409]* \(#\ ##0.00\);_([$$-409]* &quot;-&quot;??_);_(@_)">
                  <c:v>83878.009999999995</c:v>
                </c:pt>
                <c:pt idx="30" formatCode="_([$$-409]* #\ ##0.00_);_([$$-409]* \(#\ ##0.00\);_([$$-409]* &quot;-&quot;??_);_(@_)">
                  <c:v>90530.71</c:v>
                </c:pt>
                <c:pt idx="31" formatCode="_([$$-409]* #\ ##0.00_);_([$$-409]* \(#\ ##0.00\);_([$$-409]* &quot;-&quot;??_);_(@_)">
                  <c:v>90273.06</c:v>
                </c:pt>
                <c:pt idx="32" formatCode="_([$$-409]* #\ ##0.00_);_([$$-409]* \(#\ ##0.00\);_([$$-409]* &quot;-&quot;??_);_(@_)">
                  <c:v>90262.81</c:v>
                </c:pt>
                <c:pt idx="33" formatCode="_([$$-409]* #\ ##0.00_);_([$$-409]* \(#\ ##0.00\);_([$$-409]* &quot;-&quot;??_);_(@_)">
                  <c:v>90116.64</c:v>
                </c:pt>
                <c:pt idx="34" formatCode="_([$$-409]* #\ ##0.00_);_([$$-409]* \(#\ ##0.00\);_([$$-409]* &quot;-&quot;??_);_(@_)">
                  <c:v>86340.23</c:v>
                </c:pt>
                <c:pt idx="35" formatCode="_([$$-409]* #\ ##0.00_);_([$$-409]* \(#\ ##0.00\);_([$$-409]* &quot;-&quot;??_);_(@_)">
                  <c:v>86166.43</c:v>
                </c:pt>
                <c:pt idx="36" formatCode="_([$$-409]* #\ ##0.00_);_([$$-409]* \(#\ ##0.00\);_([$$-409]* &quot;-&quot;??_);_(@_)">
                  <c:v>85267.85</c:v>
                </c:pt>
                <c:pt idx="37" formatCode="_([$$-409]* #\ ##0.00_);_([$$-409]* \(#\ ##0.00\);_([$$-409]* &quot;-&quot;??_);_(@_)">
                  <c:v>84269.99</c:v>
                </c:pt>
                <c:pt idx="38" formatCode="_([$$-409]* #\ ##0.00_);_([$$-409]* \(#\ ##0.00\);_([$$-409]* &quot;-&quot;??_);_(@_)">
                  <c:v>83586.12</c:v>
                </c:pt>
                <c:pt idx="39" formatCode="_([$$-409]* #\ ##0.00_);_([$$-409]* \(#\ ##0.00\);_([$$-409]* &quot;-&quot;??_);_(@_)">
                  <c:v>80553.36</c:v>
                </c:pt>
                <c:pt idx="40" formatCode="_([$$-409]* #\ ##0.00_);_([$$-409]* \(#\ ##0.00\);_([$$-409]* &quot;-&quot;??_);_(@_)">
                  <c:v>86042.8</c:v>
                </c:pt>
                <c:pt idx="41" formatCode="_([$$-409]* #\ ##0.00_);_([$$-409]* \(#\ ##0.00\);_([$$-409]* &quot;-&quot;??_);_(@_)">
                  <c:v>88526.25</c:v>
                </c:pt>
                <c:pt idx="42" formatCode="_([$$-409]* #\ ##0.00_);_([$$-409]* \(#\ ##0.00\);_([$$-409]* &quot;-&quot;??_);_(@_)">
                  <c:v>89286.75</c:v>
                </c:pt>
                <c:pt idx="43" formatCode="_([$$-409]* #\ ##0.00_);_([$$-409]* \(#\ ##0.00\);_([$$-409]* &quot;-&quot;??_);_(@_)">
                  <c:v>91195.49</c:v>
                </c:pt>
                <c:pt idx="44" formatCode="_([$$-409]* #\ ##0.00_);_([$$-409]* \(#\ ##0.00\);_([$$-409]* &quot;-&quot;??_);_(@_)">
                  <c:v>93348.91</c:v>
                </c:pt>
                <c:pt idx="45" formatCode="_([$$-409]* #\ ##0.00_);_([$$-409]* \(#\ ##0.00\);_([$$-409]* &quot;-&quot;??_);_(@_)">
                  <c:v>94041.41</c:v>
                </c:pt>
                <c:pt idx="46" formatCode="_([$$-409]* #\ ##0.00_);_([$$-409]* \(#\ ##0.00\);_([$$-409]* &quot;-&quot;??_);_(@_)">
                  <c:v>94158.97</c:v>
                </c:pt>
                <c:pt idx="47" formatCode="_([$$-409]* #\ ##0.00_);_([$$-409]* \(#\ ##0.00\);_([$$-409]* &quot;-&quot;??_);_(@_)">
                  <c:v>97991.69</c:v>
                </c:pt>
                <c:pt idx="48" formatCode="_([$$-409]* #\ ##0.00_);_([$$-409]* \(#\ ##0.00\);_([$$-409]* &quot;-&quot;??_);_(@_)">
                  <c:v>100886.72</c:v>
                </c:pt>
                <c:pt idx="49" formatCode="_([$$-409]* #\ ##0.00_);_([$$-409]* \(#\ ##0.00\);_([$$-409]* &quot;-&quot;??_);_(@_)">
                  <c:v>102489.24</c:v>
                </c:pt>
                <c:pt idx="50" formatCode="_([$$-409]* #\ ##0.00_);_([$$-409]* \(#\ ##0.00\);_([$$-409]* &quot;-&quot;??_);_(@_)">
                  <c:v>104162.91</c:v>
                </c:pt>
                <c:pt idx="51" formatCode="_([$$-409]* #\ ##0.00_);_([$$-409]* \(#\ ##0.00\);_([$$-409]* &quot;-&quot;??_);_(@_)">
                  <c:v>101509.56</c:v>
                </c:pt>
                <c:pt idx="52" formatCode="_([$$-409]* #\ ##0.00_);_([$$-409]* \(#\ ##0.00\);_([$$-409]* &quot;-&quot;??_);_(@_)">
                  <c:v>101498.58</c:v>
                </c:pt>
                <c:pt idx="53" formatCode="_([$$-409]* #\ ##0.00_);_([$$-409]* \(#\ ##0.00\);_([$$-409]* &quot;-&quot;??_);_(@_)">
                  <c:v>99289.81</c:v>
                </c:pt>
                <c:pt idx="54" formatCode="_([$$-409]* #\ ##0.00_);_([$$-409]* \(#\ ##0.00\);_([$$-409]* &quot;-&quot;??_);_(@_)">
                  <c:v>100349.8</c:v>
                </c:pt>
                <c:pt idx="55" formatCode="_([$$-409]* #\ ##0.00_);_([$$-409]* \(#\ ##0.00\);_([$$-409]* &quot;-&quot;??_);_(@_)">
                  <c:v>98995.33</c:v>
                </c:pt>
                <c:pt idx="56" formatCode="_([$$-409]* #\ ##0.00_);_([$$-409]* \(#\ ##0.00\);_([$$-409]* &quot;-&quot;??_);_(@_)">
                  <c:v>98992.09</c:v>
                </c:pt>
                <c:pt idx="57" formatCode="_([$$-409]* #\ ##0.00_);_([$$-409]* \(#\ ##0.00\);_([$$-409]* &quot;-&quot;??_);_(@_)">
                  <c:v>105367.41</c:v>
                </c:pt>
                <c:pt idx="58" formatCode="_([$$-409]* #\ ##0.00_);_([$$-409]* \(#\ ##0.00\);_([$$-409]* &quot;-&quot;??_);_(@_)">
                  <c:v>109759.78</c:v>
                </c:pt>
                <c:pt idx="59" formatCode="_([$$-409]* #\ ##0.00_);_([$$-409]* \(#\ ##0.00\);_([$$-409]* &quot;-&quot;??_);_(@_)">
                  <c:v>107434.23</c:v>
                </c:pt>
                <c:pt idx="60" formatCode="_([$$-409]* #\ ##0.00_);_([$$-409]* \(#\ ##0.00\);_([$$-409]* &quot;-&quot;??_);_(@_)">
                  <c:v>106396.16</c:v>
                </c:pt>
                <c:pt idx="61" formatCode="_([$$-409]* #\ ##0.00_);_([$$-409]* \(#\ ##0.00\);_([$$-409]* &quot;-&quot;??_);_(@_)">
                  <c:v>109319.36</c:v>
                </c:pt>
                <c:pt idx="62" formatCode="_([$$-409]* #\ ##0.00_);_([$$-409]* \(#\ ##0.00\);_([$$-409]* &quot;-&quot;??_);_(@_)">
                  <c:v>112410.45</c:v>
                </c:pt>
                <c:pt idx="63" formatCode="_([$$-409]* #\ ##0.00_);_([$$-409]* \(#\ ##0.00\);_([$$-409]* &quot;-&quot;??_);_(@_)">
                  <c:v>112993.14</c:v>
                </c:pt>
                <c:pt idx="64" formatCode="_([$$-409]* #\ ##0.00_);_([$$-409]* \(#\ ##0.00\);_([$$-409]* &quot;-&quot;??_);_(@_)">
                  <c:v>111277.61</c:v>
                </c:pt>
                <c:pt idx="65" formatCode="_([$$-409]* #\ ##0.00_);_([$$-409]* \(#\ ##0.00\);_([$$-409]* &quot;-&quot;??_);_(@_)">
                  <c:v>110679.44</c:v>
                </c:pt>
                <c:pt idx="66" formatCode="_([$$-409]* #\ ##0.00_);_([$$-409]* \(#\ ##0.00\);_([$$-409]* &quot;-&quot;??_);_(@_)">
                  <c:v>109449.81</c:v>
                </c:pt>
                <c:pt idx="67" formatCode="_([$$-409]* #\ ##0.00_);_([$$-409]* \(#\ ##0.00\);_([$$-409]* &quot;-&quot;??_);_(@_)">
                  <c:v>106765.32</c:v>
                </c:pt>
                <c:pt idx="68" formatCode="_([$$-409]* #\ ##0.00_);_([$$-409]* \(#\ ##0.00\);_([$$-409]* &quot;-&quot;??_);_(@_)">
                  <c:v>107032.67</c:v>
                </c:pt>
                <c:pt idx="69" formatCode="_([$$-409]* #\ ##0.00_);_([$$-409]* \(#\ ##0.00\);_([$$-409]* &quot;-&quot;??_);_(@_)">
                  <c:v>107547.67</c:v>
                </c:pt>
                <c:pt idx="70" formatCode="_([$$-409]* #\ ##0.00_);_([$$-409]* \(#\ ##0.00\);_([$$-409]* &quot;-&quot;??_);_(@_)">
                  <c:v>107528.4</c:v>
                </c:pt>
                <c:pt idx="71" formatCode="_([$$-409]* #\ ##0.00_);_([$$-409]* \(#\ ##0.00\);_([$$-409]* &quot;-&quot;??_);_(@_)">
                  <c:v>106382.35</c:v>
                </c:pt>
                <c:pt idx="72" formatCode="_([$$-409]* #\ ##0.00_);_([$$-409]* \(#\ ##0.00\);_([$$-409]* &quot;-&quot;??_);_(@_)">
                  <c:v>103659.76</c:v>
                </c:pt>
                <c:pt idx="73" formatCode="_([$$-409]* #\ ##0.00_);_([$$-409]* \(#\ ##0.00\);_([$$-409]* &quot;-&quot;??_);_(@_)">
                  <c:v>107544.26</c:v>
                </c:pt>
                <c:pt idx="74" formatCode="_([$$-409]* #\ ##0.00_);_([$$-409]* \(#\ ##0.00\);_([$$-409]* &quot;-&quot;??_);_(@_)">
                  <c:v>110286.09</c:v>
                </c:pt>
                <c:pt idx="75" formatCode="_([$$-409]* #\ ##0.00_);_([$$-409]* \(#\ ##0.00\);_([$$-409]* &quot;-&quot;??_);_(@_)">
                  <c:v>110023.78</c:v>
                </c:pt>
                <c:pt idx="76" formatCode="_([$$-409]* #\ ##0.00_);_([$$-409]* \(#\ ##0.00\);_([$$-409]* &quot;-&quot;??_);_(@_)">
                  <c:v>113932.38</c:v>
                </c:pt>
                <c:pt idx="77" formatCode="_([$$-409]* #\ ##0.00_);_([$$-409]* \(#\ ##0.00\);_([$$-409]* &quot;-&quot;??_);_(@_)">
                  <c:v>109749.1</c:v>
                </c:pt>
                <c:pt idx="78" formatCode="_([$$-409]* #\ ##0.00_);_([$$-409]* \(#\ ##0.00\);_([$$-409]* &quot;-&quot;??_);_(@_)">
                  <c:v>104782.88</c:v>
                </c:pt>
                <c:pt idx="79" formatCode="_([$$-409]* #\ ##0.00_);_([$$-409]* \(#\ ##0.00\);_([$$-409]* &quot;-&quot;??_);_(@_)">
                  <c:v>113180.8</c:v>
                </c:pt>
                <c:pt idx="80" formatCode="_([$$-409]* #\ ##0.00_);_([$$-409]* \(#\ ##0.00\);_([$$-409]* &quot;-&quot;??_);_(@_)">
                  <c:v>119782.6</c:v>
                </c:pt>
                <c:pt idx="81" formatCode="_([$$-409]* #\ ##0.00_);_([$$-409]* \(#\ ##0.00\);_([$$-409]* &quot;-&quot;??_);_(@_)">
                  <c:v>121151.29</c:v>
                </c:pt>
                <c:pt idx="82" formatCode="_([$$-409]* #\ ##0.00_);_([$$-409]* \(#\ ##0.00\);_([$$-409]* &quot;-&quot;??_);_(@_)">
                  <c:v>120683.13</c:v>
                </c:pt>
                <c:pt idx="83" formatCode="_([$$-409]* #\ ##0.00_);_([$$-409]* \(#\ ##0.00\);_([$$-409]* &quot;-&quot;??_);_(@_)">
                  <c:v>122526.42</c:v>
                </c:pt>
                <c:pt idx="84" formatCode="_([$$-409]* #\ ##0.00_);_([$$-409]* \(#\ ##0.00\);_([$$-409]* &quot;-&quot;??_);_(@_)">
                  <c:v>121950.92</c:v>
                </c:pt>
                <c:pt idx="85" formatCode="_([$$-409]* #\ ##0.00_);_([$$-409]* \(#\ ##0.00\);_([$$-409]* &quot;-&quot;??_);_(@_)">
                  <c:v>121577.29</c:v>
                </c:pt>
                <c:pt idx="86" formatCode="_([$$-409]* #\ ##0.00_);_([$$-409]* \(#\ ##0.00\);_([$$-409]* &quot;-&quot;??_);_(@_)">
                  <c:v>119360.9</c:v>
                </c:pt>
                <c:pt idx="87" formatCode="_([$$-409]* #\ ##0.00_);_([$$-409]* \(#\ ##0.00\);_([$$-409]* &quot;-&quot;??_);_(@_)">
                  <c:v>117423.93</c:v>
                </c:pt>
                <c:pt idx="88" formatCode="_([$$-409]* #\ ##0.00_);_([$$-409]* \(#\ ##0.00\);_([$$-409]* &quot;-&quot;??_);_(@_)">
                  <c:v>113800.41</c:v>
                </c:pt>
                <c:pt idx="89" formatCode="_([$$-409]* #\ ##0.00_);_([$$-409]* \(#\ ##0.00\);_([$$-409]* &quot;-&quot;??_);_(@_)">
                  <c:v>112771.41</c:v>
                </c:pt>
                <c:pt idx="90" formatCode="_([$$-409]* #\ ##0.00_);_([$$-409]* \(#\ ##0.00\);_([$$-409]* &quot;-&quot;??_);_(@_)">
                  <c:v>110691.46</c:v>
                </c:pt>
                <c:pt idx="91" formatCode="_([$$-409]* #\ ##0.00_);_([$$-409]* \(#\ ##0.00\);_([$$-409]* &quot;-&quot;??_);_(@_)">
                  <c:v>109272.17</c:v>
                </c:pt>
                <c:pt idx="92" formatCode="_([$$-409]* #\ ##0.00_);_([$$-409]* \(#\ ##0.00\);_([$$-409]* &quot;-&quot;??_);_(@_)">
                  <c:v>109192.13</c:v>
                </c:pt>
                <c:pt idx="93" formatCode="_([$$-409]* #\ ##0.00_);_([$$-409]* \(#\ ##0.00\);_([$$-409]* &quot;-&quot;??_);_(@_)">
                  <c:v>108760.53</c:v>
                </c:pt>
                <c:pt idx="94" formatCode="_([$$-409]* #\ ##0.00_);_([$$-409]* \(#\ ##0.00\);_([$$-409]* &quot;-&quot;??_);_(@_)">
                  <c:v>108715.65</c:v>
                </c:pt>
                <c:pt idx="95" formatCode="_([$$-409]* #\ ##0.00_);_([$$-409]* \(#\ ##0.00\);_([$$-409]* &quot;-&quot;??_);_(@_)">
                  <c:v>111317.46</c:v>
                </c:pt>
                <c:pt idx="96" formatCode="_([$$-409]* #\ ##0.00_);_([$$-409]* \(#\ ##0.00\);_([$$-409]* &quot;-&quot;??_);_(@_)">
                  <c:v>111564.16</c:v>
                </c:pt>
                <c:pt idx="97" formatCode="_([$$-409]* #\ ##0.00_);_([$$-409]* \(#\ ##0.00\);_([$$-409]* &quot;-&quot;??_);_(@_)">
                  <c:v>112061.59</c:v>
                </c:pt>
                <c:pt idx="98" formatCode="_([$$-409]* #\ ##0.00_);_([$$-409]* \(#\ ##0.00\);_([$$-409]* &quot;-&quot;??_);_(@_)">
                  <c:v>115329.81</c:v>
                </c:pt>
                <c:pt idx="99" formatCode="_([$$-409]* #\ ##0.00_);_([$$-409]* \(#\ ##0.00\);_([$$-409]* &quot;-&quot;??_);_(@_)">
                  <c:v>115383.41</c:v>
                </c:pt>
                <c:pt idx="100" formatCode="_([$$-409]* #\ ##0.00_);_([$$-409]* \(#\ ##0.00\);_([$$-409]* &quot;-&quot;??_);_(@_)">
                  <c:v>115181.6</c:v>
                </c:pt>
                <c:pt idx="101" formatCode="_([$$-409]* #\ ##0.00_);_([$$-409]* \(#\ ##0.00\);_([$$-409]* &quot;-&quot;??_);_(@_)">
                  <c:v>115396.67</c:v>
                </c:pt>
                <c:pt idx="102" formatCode="_([$$-409]* #\ ##0.00_);_([$$-409]* \(#\ ##0.00\);_([$$-409]* &quot;-&quot;??_);_(@_)">
                  <c:v>114805.81</c:v>
                </c:pt>
                <c:pt idx="103" formatCode="_([$$-409]* #\ ##0.00_);_([$$-409]* \(#\ ##0.00\);_([$$-409]* &quot;-&quot;??_);_(@_)">
                  <c:v>114813.72</c:v>
                </c:pt>
                <c:pt idx="104" formatCode="_([$$-409]* #\ ##0.00_);_([$$-409]* \(#\ ##0.00\);_([$$-409]* &quot;-&quot;??_);_(@_)">
                  <c:v>114484.81</c:v>
                </c:pt>
                <c:pt idx="105" formatCode="_([$$-409]* #\ ##0.00_);_([$$-409]* \(#\ ##0.00\);_([$$-409]* &quot;-&quot;??_);_(@_)">
                  <c:v>115206.5</c:v>
                </c:pt>
                <c:pt idx="106" formatCode="_([$$-409]* #\ ##0.00_);_([$$-409]* \(#\ ##0.00\);_([$$-409]* &quot;-&quot;??_);_(@_)">
                  <c:v>115170.21</c:v>
                </c:pt>
                <c:pt idx="107" formatCode="_([$$-409]* #\ ##0.00_);_([$$-409]* \(#\ ##0.00\);_([$$-409]* &quot;-&quot;??_);_(@_)">
                  <c:v>114408.58</c:v>
                </c:pt>
                <c:pt idx="108" formatCode="_([$$-409]* #\ ##0.00_);_([$$-409]* \(#\ ##0.00\);_([$$-409]* &quot;-&quot;??_);_(@_)">
                  <c:v>113470.19</c:v>
                </c:pt>
                <c:pt idx="109" formatCode="_([$$-409]* #\ ##0.00_);_([$$-409]* \(#\ ##0.00\);_([$$-409]* &quot;-&quot;??_);_(@_)">
                  <c:v>110975.94</c:v>
                </c:pt>
                <c:pt idx="110" formatCode="_([$$-409]* #\ ##0.00_);_([$$-409]* \(#\ ##0.00\);_([$$-409]* &quot;-&quot;??_);_(@_)">
                  <c:v>110794</c:v>
                </c:pt>
                <c:pt idx="111" formatCode="_([$$-409]* #\ ##0.00_);_([$$-409]* \(#\ ##0.00\);_([$$-409]* &quot;-&quot;??_);_(@_)">
                  <c:v>110664.56</c:v>
                </c:pt>
                <c:pt idx="112" formatCode="_([$$-409]* #\ ##0.00_);_([$$-409]* \(#\ ##0.00\);_([$$-409]* &quot;-&quot;??_);_(@_)">
                  <c:v>110021.54</c:v>
                </c:pt>
                <c:pt idx="113" formatCode="_([$$-409]* #\ ##0.00_);_([$$-409]* \(#\ ##0.00\);_([$$-409]* &quot;-&quot;??_);_(@_)">
                  <c:v>110021.56</c:v>
                </c:pt>
                <c:pt idx="114" formatCode="_([$$-409]* #\ ##0.00_);_([$$-409]* \(#\ ##0.00\);_([$$-409]* &quot;-&quot;??_);_(@_)">
                  <c:v>110266.31</c:v>
                </c:pt>
                <c:pt idx="115" formatCode="_([$$-409]* #\ ##0.00_);_([$$-409]* \(#\ ##0.00\);_([$$-409]* &quot;-&quot;??_);_(@_)">
                  <c:v>109386.52</c:v>
                </c:pt>
                <c:pt idx="116" formatCode="_([$$-409]* #\ ##0.00_);_([$$-409]* \(#\ ##0.00\);_([$$-409]* &quot;-&quot;??_);_(@_)">
                  <c:v>110588.67</c:v>
                </c:pt>
                <c:pt idx="117" formatCode="_([$$-409]* #\ ##0.00_);_([$$-409]* \(#\ ##0.00\);_([$$-409]* &quot;-&quot;??_);_(@_)">
                  <c:v>107489.57</c:v>
                </c:pt>
                <c:pt idx="118" formatCode="_([$$-409]* #\ ##0.00_);_([$$-409]* \(#\ ##0.00\);_([$$-409]* &quot;-&quot;??_);_(@_)">
                  <c:v>107304.15</c:v>
                </c:pt>
                <c:pt idx="119" formatCode="_([$$-409]* #\ ##0.00_);_([$$-409]* \(#\ ##0.00\);_([$$-409]* &quot;-&quot;??_);_(@_)">
                  <c:v>108215.2</c:v>
                </c:pt>
                <c:pt idx="120" formatCode="_([$$-409]* #\ ##0.00_);_([$$-409]* \(#\ ##0.00\);_([$$-409]* &quot;-&quot;??_);_(@_)">
                  <c:v>107450.05</c:v>
                </c:pt>
                <c:pt idx="121" formatCode="_([$$-409]* #\ ##0.00_);_([$$-409]* \(#\ ##0.00\);_([$$-409]* &quot;-&quot;??_);_(@_)">
                  <c:v>107621.49</c:v>
                </c:pt>
                <c:pt idx="122" formatCode="_([$$-409]* #\ ##0.00_);_([$$-409]* \(#\ ##0.00\);_([$$-409]* &quot;-&quot;??_);_(@_)">
                  <c:v>110922.7</c:v>
                </c:pt>
                <c:pt idx="123" formatCode="_([$$-409]* #\ ##0.00_);_([$$-409]* \(#\ ##0.00\);_([$$-409]* &quot;-&quot;??_);_(@_)">
                  <c:v>110433.59</c:v>
                </c:pt>
                <c:pt idx="124" formatCode="_([$$-409]* #\ ##0.00_);_([$$-409]* \(#\ ##0.00\);_([$$-409]* &quot;-&quot;??_);_(@_)">
                  <c:v>108829.09</c:v>
                </c:pt>
                <c:pt idx="125" formatCode="_([$$-409]* #\ ##0.00_);_([$$-409]* \(#\ ##0.00\);_([$$-409]* &quot;-&quot;??_);_(@_)">
                  <c:v>109453.22</c:v>
                </c:pt>
                <c:pt idx="126" formatCode="_([$$-409]* #\ ##0.00_);_([$$-409]* \(#\ ##0.00\);_([$$-409]* &quot;-&quot;??_);_(@_)">
                  <c:v>111241.99</c:v>
                </c:pt>
                <c:pt idx="127" formatCode="_([$$-409]* #\ ##0.00_);_([$$-409]* \(#\ ##0.00\);_([$$-409]* &quot;-&quot;??_);_(@_)">
                  <c:v>114573.92</c:v>
                </c:pt>
                <c:pt idx="128" formatCode="_([$$-409]* #\ ##0.00_);_([$$-409]* \(#\ ##0.00\);_([$$-409]* &quot;-&quot;??_);_(@_)">
                  <c:v>111666.07</c:v>
                </c:pt>
                <c:pt idx="129" formatCode="_([$$-409]* #\ ##0.00_);_([$$-409]* \(#\ ##0.00\);_([$$-409]* &quot;-&quot;??_);_(@_)">
                  <c:v>112008.02</c:v>
                </c:pt>
                <c:pt idx="130" formatCode="_([$$-409]* #\ ##0.00_);_([$$-409]* \(#\ ##0.00\);_([$$-409]* &quot;-&quot;??_);_(@_)">
                  <c:v>112386.93</c:v>
                </c:pt>
                <c:pt idx="131" formatCode="_([$$-409]* #\ ##0.00_);_([$$-409]* \(#\ ##0.00\);_([$$-409]* &quot;-&quot;??_);_(@_)">
                  <c:v>112762.86</c:v>
                </c:pt>
                <c:pt idx="132" formatCode="_([$$-409]* #\ ##0.00_);_([$$-409]* \(#\ ##0.00\);_([$$-409]* &quot;-&quot;??_);_(@_)">
                  <c:v>114755.65</c:v>
                </c:pt>
                <c:pt idx="133" formatCode="_([$$-409]* #\ ##0.00_);_([$$-409]* \(#\ ##0.00\);_([$$-409]* &quot;-&quot;??_);_(@_)">
                  <c:v>117312.68</c:v>
                </c:pt>
                <c:pt idx="134" formatCode="_([$$-409]* #\ ##0.00_);_([$$-409]* \(#\ ##0.00\);_([$$-409]* &quot;-&quot;??_);_(@_)">
                  <c:v>117137.04</c:v>
                </c:pt>
                <c:pt idx="135" formatCode="_([$$-409]* #\ ##0.00_);_([$$-409]* \(#\ ##0.00\);_([$$-409]* &quot;-&quot;??_);_(@_)">
                  <c:v>116892.93</c:v>
                </c:pt>
                <c:pt idx="136" formatCode="_([$$-409]* #\ ##0.00_);_([$$-409]* \(#\ ##0.00\);_([$$-409]* &quot;-&quot;??_);_(@_)">
                  <c:v>117291.28</c:v>
                </c:pt>
                <c:pt idx="137" formatCode="_([$$-409]* #\ ##0.00_);_([$$-409]* \(#\ ##0.00\);_([$$-409]* &quot;-&quot;??_);_(@_)">
                  <c:v>118961.01</c:v>
                </c:pt>
                <c:pt idx="138" formatCode="_([$$-409]* #\ ##0.00_);_([$$-409]* \(#\ ##0.00\);_([$$-409]* &quot;-&quot;??_);_(@_)">
                  <c:v>118231.13</c:v>
                </c:pt>
                <c:pt idx="139" formatCode="_([$$-409]* #\ ##0.00_);_([$$-409]* \(#\ ##0.00\);_([$$-409]* &quot;-&quot;??_);_(@_)">
                  <c:v>118136.92</c:v>
                </c:pt>
                <c:pt idx="140" formatCode="_([$$-409]* #\ ##0.00_);_([$$-409]* \(#\ ##0.00\);_([$$-409]* &quot;-&quot;??_);_(@_)">
                  <c:v>116423.6</c:v>
                </c:pt>
                <c:pt idx="141" formatCode="_([$$-409]* #\ ##0.00_);_([$$-409]* \(#\ ##0.00\);_([$$-409]* &quot;-&quot;??_);_(@_)">
                  <c:v>116398.09</c:v>
                </c:pt>
                <c:pt idx="142" formatCode="_([$$-409]* #\ ##0.00_);_([$$-409]* \(#\ ##0.00\);_([$$-409]* &quot;-&quot;??_);_(@_)">
                  <c:v>115950.7</c:v>
                </c:pt>
                <c:pt idx="143" formatCode="_([$$-409]* #\ ##0.00_);_([$$-409]* \(#\ ##0.00\);_([$$-409]* &quot;-&quot;??_);_(@_)">
                  <c:v>114315.77</c:v>
                </c:pt>
                <c:pt idx="144" formatCode="_([$$-409]* #\ ##0.00_);_([$$-409]* \(#\ ##0.00\);_([$$-409]* &quot;-&quot;??_);_(@_)">
                  <c:v>113353.07</c:v>
                </c:pt>
                <c:pt idx="145" formatCode="_([$$-409]* #\ ##0.00_);_([$$-409]* \(#\ ##0.00\);_([$$-409]* &quot;-&quot;??_);_(@_)">
                  <c:v>112720.85</c:v>
                </c:pt>
                <c:pt idx="146" formatCode="_([$$-409]* #\ ##0.00_);_([$$-409]* \(#\ ##0.00\);_([$$-409]* &quot;-&quot;??_);_(@_)">
                  <c:v>114134.64</c:v>
                </c:pt>
                <c:pt idx="147" formatCode="_([$$-409]* #\ ##0.00_);_([$$-409]* \(#\ ##0.00\);_([$$-409]* &quot;-&quot;??_);_(@_)">
                  <c:v>112003.08</c:v>
                </c:pt>
                <c:pt idx="148" formatCode="_([$$-409]* #\ ##0.00_);_([$$-409]* \(#\ ##0.00\);_([$$-409]* &quot;-&quot;??_);_(@_)">
                  <c:v>112012.57</c:v>
                </c:pt>
                <c:pt idx="149" formatCode="_([$$-409]* #\ ##0.00_);_([$$-409]* \(#\ ##0.00\);_([$$-409]* &quot;-&quot;??_);_(@_)">
                  <c:v>113167.95</c:v>
                </c:pt>
                <c:pt idx="150" formatCode="_([$$-409]* #\ ##0.00_);_([$$-409]* \(#\ ##0.00\);_([$$-409]* &quot;-&quot;??_);_(@_)">
                  <c:v>116473.98</c:v>
                </c:pt>
                <c:pt idx="151" formatCode="_([$$-409]* #\ ##0.00_);_([$$-409]* \(#\ ##0.00\);_([$$-409]* &quot;-&quot;??_);_(@_)">
                  <c:v>115804.43</c:v>
                </c:pt>
                <c:pt idx="152" formatCode="_([$$-409]* #\ ##0.00_);_([$$-409]* \(#\ ##0.00\);_([$$-409]* &quot;-&quot;??_);_(@_)">
                  <c:v>116997.36</c:v>
                </c:pt>
                <c:pt idx="153" formatCode="_([$$-409]* #\ ##0.00_);_([$$-409]* \(#\ ##0.00\);_([$$-409]* &quot;-&quot;??_);_(@_)">
                  <c:v>117455.97</c:v>
                </c:pt>
                <c:pt idx="154" formatCode="_([$$-409]* #\ ##0.00_);_([$$-409]* \(#\ ##0.00\);_([$$-409]* &quot;-&quot;??_);_(@_)">
                  <c:v>117842.96</c:v>
                </c:pt>
                <c:pt idx="155" formatCode="_([$$-409]* #\ ##0.00_);_([$$-409]* \(#\ ##0.00\);_([$$-409]* &quot;-&quot;??_);_(@_)">
                  <c:v>117046.33</c:v>
                </c:pt>
                <c:pt idx="156" formatCode="_([$$-409]* #\ ##0.00_);_([$$-409]* \(#\ ##0.00\);_([$$-409]* &quot;-&quot;??_);_(@_)">
                  <c:v>114779.36</c:v>
                </c:pt>
                <c:pt idx="157" formatCode="_([$$-409]* #\ ##0.00_);_([$$-409]* \(#\ ##0.00\);_([$$-409]* &quot;-&quot;??_);_(@_)">
                  <c:v>117229.04</c:v>
                </c:pt>
                <c:pt idx="158" formatCode="_([$$-409]* #\ ##0.00_);_([$$-409]* \(#\ ##0.00\);_([$$-409]* &quot;-&quot;??_);_(@_)">
                  <c:v>117404.49</c:v>
                </c:pt>
                <c:pt idx="159" formatCode="_([$$-409]* #\ ##0.00_);_([$$-409]* \(#\ ##0.00\);_([$$-409]* &quot;-&quot;??_);_(@_)">
                  <c:v>116238.82</c:v>
                </c:pt>
                <c:pt idx="160" formatCode="_([$$-409]* #\ ##0.00_);_([$$-409]* \(#\ ##0.00\);_([$$-409]* &quot;-&quot;??_);_(@_)">
                  <c:v>116605.23</c:v>
                </c:pt>
                <c:pt idx="161" formatCode="_([$$-409]* #\ ##0.00_);_([$$-409]* \(#\ ##0.00\);_([$$-409]* &quot;-&quot;??_);_(@_)">
                  <c:v>117377.05</c:v>
                </c:pt>
                <c:pt idx="162" formatCode="_([$$-409]* #\ ##0.00_);_([$$-409]* \(#\ ##0.00\);_([$$-409]* &quot;-&quot;??_);_(@_)">
                  <c:v>117460.49</c:v>
                </c:pt>
                <c:pt idx="163" formatCode="_([$$-409]* #\ ##0.00_);_([$$-409]* \(#\ ##0.00\);_([$$-409]* &quot;-&quot;??_);_(@_)">
                  <c:v>116925.57</c:v>
                </c:pt>
                <c:pt idx="164" formatCode="_([$$-409]* #\ ##0.00_);_([$$-409]* \(#\ ##0.00\);_([$$-409]* &quot;-&quot;??_);_(@_)">
                  <c:v>117553.73</c:v>
                </c:pt>
                <c:pt idx="165" formatCode="_([$$-409]* #\ ##0.00_);_([$$-409]* \(#\ ##0.00\);_([$$-409]* &quot;-&quot;??_);_(@_)">
                  <c:v>116401.22</c:v>
                </c:pt>
                <c:pt idx="166" formatCode="_([$$-409]* #\ ##0.00_);_([$$-409]* \(#\ ##0.00\);_([$$-409]* &quot;-&quot;??_);_(@_)">
                  <c:v>115765.72</c:v>
                </c:pt>
                <c:pt idx="167" formatCode="_([$$-409]* #\ ##0.00_);_([$$-409]* \(#\ ##0.00\);_([$$-409]* &quot;-&quot;??_);_(@_)">
                  <c:v>118363.23</c:v>
                </c:pt>
                <c:pt idx="168" formatCode="_([$$-409]* #\ ##0.00_);_([$$-409]* \(#\ ##0.00\);_([$$-409]* &quot;-&quot;??_);_(@_)">
                  <c:v>117047.94</c:v>
                </c:pt>
                <c:pt idx="169" formatCode="_([$$-409]* #\ ##0.00_);_([$$-409]* \(#\ ##0.00\);_([$$-409]* &quot;-&quot;??_);_(@_)">
                  <c:v>116980.38</c:v>
                </c:pt>
                <c:pt idx="170" formatCode="_([$$-409]* #\ ##0.00_);_([$$-409]* \(#\ ##0.00\);_([$$-409]* &quot;-&quot;??_);_(@_)">
                  <c:v>113475.16</c:v>
                </c:pt>
                <c:pt idx="171" formatCode="_([$$-409]* #\ ##0.00_);_([$$-409]* \(#\ ##0.00\);_([$$-409]* &quot;-&quot;??_);_(@_)">
                  <c:v>110626.93</c:v>
                </c:pt>
                <c:pt idx="172" formatCode="_([$$-409]* #\ ##0.00_);_([$$-409]* \(#\ ##0.00\);_([$$-409]* &quot;-&quot;??_);_(@_)">
                  <c:v>108384.01</c:v>
                </c:pt>
                <c:pt idx="173" formatCode="_([$$-409]* #\ ##0.00_);_([$$-409]* \(#\ ##0.00\);_([$$-409]* &quot;-&quot;??_);_(@_)">
                  <c:v>107506.14</c:v>
                </c:pt>
                <c:pt idx="174" formatCode="_([$$-409]* #\ ##0.00_);_([$$-409]* \(#\ ##0.00\);_([$$-409]* &quot;-&quot;??_);_(@_)">
                  <c:v>107554.76</c:v>
                </c:pt>
                <c:pt idx="175" formatCode="_([$$-409]* #\ ##0.00_);_([$$-409]* \(#\ ##0.00\);_([$$-409]* &quot;-&quot;??_);_(@_)">
                  <c:v>107840.78</c:v>
                </c:pt>
                <c:pt idx="176" formatCode="_([$$-409]* #\ ##0.00_);_([$$-409]* \(#\ ##0.00\);_([$$-409]* &quot;-&quot;??_);_(@_)">
                  <c:v>107737.15</c:v>
                </c:pt>
                <c:pt idx="177" formatCode="_([$$-409]* #\ ##0.00_);_([$$-409]* \(#\ ##0.00\);_([$$-409]* &quot;-&quot;??_);_(@_)">
                  <c:v>107340.96</c:v>
                </c:pt>
                <c:pt idx="178" formatCode="_([$$-409]* #\ ##0.00_);_([$$-409]* \(#\ ##0.00\);_([$$-409]* &quot;-&quot;??_);_(@_)">
                  <c:v>108620.86</c:v>
                </c:pt>
                <c:pt idx="179" formatCode="_([$$-409]* #\ ##0.00_);_([$$-409]* \(#\ ##0.00\);_([$$-409]* &quot;-&quot;??_);_(@_)">
                  <c:v>105177.99</c:v>
                </c:pt>
                <c:pt idx="180" formatCode="_([$$-409]* #\ ##0.00_);_([$$-409]* \(#\ ##0.00\);_([$$-409]* &quot;-&quot;??_);_(@_)">
                  <c:v>105308.65</c:v>
                </c:pt>
                <c:pt idx="181" formatCode="_([$$-409]* #\ ##0.00_);_([$$-409]* \(#\ ##0.00\);_([$$-409]* &quot;-&quot;??_);_(@_)">
                  <c:v>106792.04</c:v>
                </c:pt>
                <c:pt idx="182" formatCode="_([$$-409]* #\ ##0.00_);_([$$-409]* \(#\ ##0.00\);_([$$-409]* &quot;-&quot;??_);_(@_)">
                  <c:v>107194.06</c:v>
                </c:pt>
                <c:pt idx="183" formatCode="_([$$-409]* #\ ##0.00_);_([$$-409]* \(#\ ##0.00\);_([$$-409]* &quot;-&quot;??_);_(@_)">
                  <c:v>106891.68</c:v>
                </c:pt>
                <c:pt idx="184" formatCode="_([$$-409]* #\ ##0.00_);_([$$-409]* \(#\ ##0.00\);_([$$-409]* &quot;-&quot;??_);_(@_)">
                  <c:v>106456.39</c:v>
                </c:pt>
                <c:pt idx="185" formatCode="_([$$-409]* #\ ##0.00_);_([$$-409]* \(#\ ##0.00\);_([$$-409]* &quot;-&quot;??_);_(@_)">
                  <c:v>106663.36</c:v>
                </c:pt>
                <c:pt idx="186" formatCode="_([$$-409]* #\ ##0.00_);_([$$-409]* \(#\ ##0.00\);_([$$-409]* &quot;-&quot;??_);_(@_)">
                  <c:v>105812.46</c:v>
                </c:pt>
                <c:pt idx="187" formatCode="_([$$-409]* #\ ##0.00_);_([$$-409]* \(#\ ##0.00\);_([$$-409]* &quot;-&quot;??_);_(@_)">
                  <c:v>103731.48</c:v>
                </c:pt>
                <c:pt idx="188" formatCode="_([$$-409]* #\ ##0.00_);_([$$-409]* \(#\ ##0.00\);_([$$-409]* &quot;-&quot;??_);_(@_)">
                  <c:v>99093.46</c:v>
                </c:pt>
                <c:pt idx="189" formatCode="_([$$-409]* #\ ##0.00_);_([$$-409]* \(#\ ##0.00\);_([$$-409]* &quot;-&quot;??_);_(@_)">
                  <c:v>98286.97</c:v>
                </c:pt>
                <c:pt idx="190" formatCode="_([$$-409]* #\ ##0.00_);_([$$-409]* \(#\ ##0.00\);_([$$-409]* &quot;-&quot;??_);_(@_)">
                  <c:v>103027.21</c:v>
                </c:pt>
                <c:pt idx="191" formatCode="_([$$-409]* #\ ##0.00_);_([$$-409]* \(#\ ##0.00\);_([$$-409]* &quot;-&quot;??_);_(@_)">
                  <c:v>102403.38</c:v>
                </c:pt>
                <c:pt idx="192" formatCode="_([$$-409]* #\ ##0.00_);_([$$-409]* \(#\ ##0.00\);_([$$-409]* &quot;-&quot;??_);_(@_)">
                  <c:v>103972.78</c:v>
                </c:pt>
                <c:pt idx="193" formatCode="_([$$-409]* #\ ##0.00_);_([$$-409]* \(#\ ##0.00\);_([$$-409]* &quot;-&quot;??_);_(@_)">
                  <c:v>103565.89</c:v>
                </c:pt>
                <c:pt idx="194" formatCode="_([$$-409]* #\ ##0.00_);_([$$-409]* \(#\ ##0.00\);_([$$-409]* &quot;-&quot;??_);_(@_)">
                  <c:v>103399.15</c:v>
                </c:pt>
                <c:pt idx="195" formatCode="_([$$-409]* #\ ##0.00_);_([$$-409]* \(#\ ##0.00\);_([$$-409]* &quot;-&quot;??_);_(@_)">
                  <c:v>104558.39999999999</c:v>
                </c:pt>
                <c:pt idx="196" formatCode="_([$$-409]* #\ ##0.00_);_([$$-409]* \(#\ ##0.00\);_([$$-409]* &quot;-&quot;??_);_(@_)">
                  <c:v>104666.39</c:v>
                </c:pt>
                <c:pt idx="197" formatCode="_([$$-409]* #\ ##0.00_);_([$$-409]* \(#\ ##0.00\);_([$$-409]* &quot;-&quot;??_);_(@_)">
                  <c:v>104405.87</c:v>
                </c:pt>
                <c:pt idx="198" formatCode="_([$$-409]* #\ ##0.00_);_([$$-409]* \(#\ ##0.00\);_([$$-409]* &quot;-&quot;??_);_(@_)">
                  <c:v>102811.38</c:v>
                </c:pt>
                <c:pt idx="199" formatCode="_([$$-409]* #\ ##0.00_);_([$$-409]* \(#\ ##0.00\);_([$$-409]* &quot;-&quot;??_);_(@_)">
                  <c:v>105816.46</c:v>
                </c:pt>
                <c:pt idx="200" formatCode="_([$$-409]* #\ ##0.00_);_([$$-409]* \(#\ ##0.00\);_([$$-409]* &quot;-&quot;??_);_(@_)">
                  <c:v>108445.05</c:v>
                </c:pt>
                <c:pt idx="201" formatCode="_([$$-409]* #\ ##0.00_);_([$$-409]* \(#\ ##0.00\);_([$$-409]* &quot;-&quot;??_);_(@_)">
                  <c:v>108403.17</c:v>
                </c:pt>
                <c:pt idx="202" formatCode="_([$$-409]* #\ ##0.00_);_([$$-409]* \(#\ ##0.00\);_([$$-409]* &quot;-&quot;??_);_(@_)">
                  <c:v>105401.07</c:v>
                </c:pt>
                <c:pt idx="203" formatCode="_([$$-409]* #\ ##0.00_);_([$$-409]* \(#\ ##0.00\);_([$$-409]* &quot;-&quot;??_);_(@_)">
                  <c:v>105069.87</c:v>
                </c:pt>
                <c:pt idx="204" formatCode="_([$$-409]* #\ ##0.00_);_([$$-409]* \(#\ ##0.00\);_([$$-409]* &quot;-&quot;??_);_(@_)">
                  <c:v>103998.87</c:v>
                </c:pt>
                <c:pt idx="205" formatCode="_([$$-409]* #\ ##0.00_);_([$$-409]* \(#\ ##0.00\);_([$$-409]* &quot;-&quot;??_);_(@_)">
                  <c:v>100494.06</c:v>
                </c:pt>
                <c:pt idx="206" formatCode="_([$$-409]* #\ ##0.00_);_([$$-409]* \(#\ ##0.00\);_([$$-409]* &quot;-&quot;??_);_(@_)">
                  <c:v>100432.39</c:v>
                </c:pt>
                <c:pt idx="207" formatCode="_([$$-409]* #\ ##0.00_);_([$$-409]* \(#\ ##0.00\);_([$$-409]* &quot;-&quot;??_);_(@_)">
                  <c:v>104266.67</c:v>
                </c:pt>
                <c:pt idx="208" formatCode="_([$$-409]* #\ ##0.00_);_([$$-409]* \(#\ ##0.00\);_([$$-409]* &quot;-&quot;??_);_(@_)">
                  <c:v>104642.77</c:v>
                </c:pt>
                <c:pt idx="209" formatCode="_([$$-409]* #\ ##0.00_);_([$$-409]* \(#\ ##0.00\);_([$$-409]* &quot;-&quot;??_);_(@_)">
                  <c:v>103739.87</c:v>
                </c:pt>
                <c:pt idx="210" formatCode="_([$$-409]* #\ ##0.00_);_([$$-409]* \(#\ ##0.00\);_([$$-409]* &quot;-&quot;??_);_(@_)">
                  <c:v>103826</c:v>
                </c:pt>
                <c:pt idx="211" formatCode="_([$$-409]* #\ ##0.00_);_([$$-409]* \(#\ ##0.00\);_([$$-409]* &quot;-&quot;??_);_(@_)">
                  <c:v>103143.02</c:v>
                </c:pt>
                <c:pt idx="212" formatCode="_([$$-409]* #\ ##0.00_);_([$$-409]* \(#\ ##0.00\);_([$$-409]* &quot;-&quot;??_);_(@_)">
                  <c:v>103717.19</c:v>
                </c:pt>
                <c:pt idx="213" formatCode="_([$$-409]* #\ ##0.00_);_([$$-409]* \(#\ ##0.00\);_([$$-409]* &quot;-&quot;??_);_(@_)">
                  <c:v>105658.88</c:v>
                </c:pt>
                <c:pt idx="214" formatCode="_([$$-409]* #\ ##0.00_);_([$$-409]* \(#\ ##0.00\);_([$$-409]* &quot;-&quot;??_);_(@_)">
                  <c:v>106823.41</c:v>
                </c:pt>
                <c:pt idx="215" formatCode="_([$$-409]* #\ ##0.00_);_([$$-409]* \(#\ ##0.00\);_([$$-409]* &quot;-&quot;??_);_(@_)">
                  <c:v>107564.63</c:v>
                </c:pt>
                <c:pt idx="216" formatCode="_([$$-409]* #\ ##0.00_);_([$$-409]* \(#\ ##0.00\);_([$$-409]* &quot;-&quot;??_);_(@_)">
                  <c:v>107215.79</c:v>
                </c:pt>
                <c:pt idx="217" formatCode="_([$$-409]* #\ ##0.00_);_([$$-409]* \(#\ ##0.00\);_([$$-409]* &quot;-&quot;??_);_(@_)">
                  <c:v>106676.59</c:v>
                </c:pt>
                <c:pt idx="218" formatCode="_([$$-409]* #\ ##0.00_);_([$$-409]* \(#\ ##0.00\);_([$$-409]* &quot;-&quot;??_);_(@_)">
                  <c:v>106845.95</c:v>
                </c:pt>
                <c:pt idx="219" formatCode="_([$$-409]* #\ ##0.00_);_([$$-409]* \(#\ ##0.00\);_([$$-409]* &quot;-&quot;??_);_(@_)">
                  <c:v>107367.03999999999</c:v>
                </c:pt>
                <c:pt idx="220" formatCode="_([$$-409]* #\ ##0.00_);_([$$-409]* \(#\ ##0.00\);_([$$-409]* &quot;-&quot;??_);_(@_)">
                  <c:v>108003.37</c:v>
                </c:pt>
                <c:pt idx="221" formatCode="_([$$-409]* #\ ##0.00_);_([$$-409]* \(#\ ##0.00\);_([$$-409]* &quot;-&quot;??_);_(@_)">
                  <c:v>105984.98</c:v>
                </c:pt>
                <c:pt idx="222" formatCode="_([$$-409]* #\ ##0.00_);_([$$-409]* \(#\ ##0.00\);_([$$-409]* &quot;-&quot;??_);_(@_)">
                  <c:v>104229.61</c:v>
                </c:pt>
                <c:pt idx="223" formatCode="_([$$-409]* #\ ##0.00_);_([$$-409]* \(#\ ##0.00\);_([$$-409]* &quot;-&quot;??_);_(@_)">
                  <c:v>102114.4</c:v>
                </c:pt>
                <c:pt idx="224" formatCode="_([$$-409]* #\ ##0.00_);_([$$-409]* \(#\ ##0.00\);_([$$-409]* &quot;-&quot;??_);_(@_)">
                  <c:v>102950.81</c:v>
                </c:pt>
                <c:pt idx="225" formatCode="_([$$-409]* #\ ##0.00_);_([$$-409]* \(#\ ##0.00\);_([$$-409]* &quot;-&quot;??_);_(@_)">
                  <c:v>102662.52</c:v>
                </c:pt>
                <c:pt idx="226" formatCode="_([$$-409]* #\ ##0.00_);_([$$-409]* \(#\ ##0.00\);_([$$-409]* &quot;-&quot;??_);_(@_)">
                  <c:v>102744.99</c:v>
                </c:pt>
                <c:pt idx="227" formatCode="_([$$-409]* #\ ##0.00_);_([$$-409]* \(#\ ##0.00\);_([$$-409]* &quot;-&quot;??_);_(@_)">
                  <c:v>101450.33</c:v>
                </c:pt>
                <c:pt idx="228" formatCode="_([$$-409]* #\ ##0.00_);_([$$-409]* \(#\ ##0.00\);_([$$-409]* &quot;-&quot;??_);_(@_)">
                  <c:v>102646.72</c:v>
                </c:pt>
                <c:pt idx="229" formatCode="_([$$-409]* #\ ##0.00_);_([$$-409]* \(#\ ##0.00\);_([$$-409]* &quot;-&quot;??_);_(@_)">
                  <c:v>101527.28</c:v>
                </c:pt>
                <c:pt idx="230" formatCode="_([$$-409]* #\ ##0.00_);_([$$-409]* \(#\ ##0.00\);_([$$-409]* &quot;-&quot;??_);_(@_)">
                  <c:v>100819.68</c:v>
                </c:pt>
                <c:pt idx="231" formatCode="_([$$-409]* #\ ##0.00_);_([$$-409]* \(#\ ##0.00\);_([$$-409]* &quot;-&quot;??_);_(@_)">
                  <c:v>103169.84</c:v>
                </c:pt>
                <c:pt idx="232" formatCode="_([$$-409]* #\ ##0.00_);_([$$-409]* \(#\ ##0.00\);_([$$-409]* &quot;-&quot;??_);_(@_)">
                  <c:v>102764.92</c:v>
                </c:pt>
                <c:pt idx="233" formatCode="_([$$-409]* #\ ##0.00_);_([$$-409]* \(#\ ##0.00\);_([$$-409]* &quot;-&quot;??_);_(@_)">
                  <c:v>102161.79</c:v>
                </c:pt>
                <c:pt idx="234" formatCode="_([$$-409]* #\ ##0.00_);_([$$-409]* \(#\ ##0.00\);_([$$-409]* &quot;-&quot;??_);_(@_)">
                  <c:v>96682.72</c:v>
                </c:pt>
                <c:pt idx="235" formatCode="_([$$-409]* #\ ##0.00_);_([$$-409]* \(#\ ##0.00\);_([$$-409]* &quot;-&quot;??_);_(@_)">
                  <c:v>94501.22</c:v>
                </c:pt>
                <c:pt idx="236" formatCode="_([$$-409]* #\ ##0.00_);_([$$-409]* \(#\ ##0.00\);_([$$-409]* &quot;-&quot;??_);_(@_)">
                  <c:v>93383.39</c:v>
                </c:pt>
                <c:pt idx="237" formatCode="_([$$-409]* #\ ##0.00_);_([$$-409]* \(#\ ##0.00\);_([$$-409]* &quot;-&quot;??_);_(@_)">
                  <c:v>93548.42</c:v>
                </c:pt>
                <c:pt idx="238" formatCode="_([$$-409]* #\ ##0.00_);_([$$-409]* \(#\ ##0.00\);_([$$-409]* &quot;-&quot;??_);_(@_)">
                  <c:v>95220.28</c:v>
                </c:pt>
                <c:pt idx="239" formatCode="_([$$-409]* #\ ##0.00_);_([$$-409]* \(#\ ##0.00\);_([$$-409]* &quot;-&quot;??_);_(@_)">
                  <c:v>95905.26</c:v>
                </c:pt>
                <c:pt idx="240" formatCode="_([$$-409]* #\ ##0.00_);_([$$-409]* \(#\ ##0.00\);_([$$-409]* &quot;-&quot;??_);_(@_)">
                  <c:v>96233.88</c:v>
                </c:pt>
                <c:pt idx="241" formatCode="_([$$-409]* #\ ##0.00_);_([$$-409]* \(#\ ##0.00\);_([$$-409]* &quot;-&quot;??_);_(@_)">
                  <c:v>94041.600000000006</c:v>
                </c:pt>
                <c:pt idx="242" formatCode="_([$$-409]* #\ ##0.00_);_([$$-409]* \(#\ ##0.00\);_([$$-409]* &quot;-&quot;??_);_(@_)">
                  <c:v>92956.56</c:v>
                </c:pt>
                <c:pt idx="243" formatCode="_([$$-409]* #\ ##0.00_);_([$$-409]* \(#\ ##0.00\);_([$$-409]* &quot;-&quot;??_);_(@_)">
                  <c:v>94259.01</c:v>
                </c:pt>
                <c:pt idx="244" formatCode="_([$$-409]* #\ ##0.00_);_([$$-409]* \(#\ ##0.00\);_([$$-409]* &quot;-&quot;??_);_(@_)">
                  <c:v>92877.47</c:v>
                </c:pt>
                <c:pt idx="245" formatCode="_([$$-409]* #\ ##0.00_);_([$$-409]* \(#\ ##0.00\);_([$$-409]* &quot;-&quot;??_);_(@_)">
                  <c:v>93681.02</c:v>
                </c:pt>
                <c:pt idx="246" formatCode="_([$$-409]* #\ ##0.00_);_([$$-409]* \(#\ ##0.00\);_([$$-409]* &quot;-&quot;??_);_(@_)">
                  <c:v>93946.18</c:v>
                </c:pt>
                <c:pt idx="247" formatCode="_([$$-409]* #\ ##0.00_);_([$$-409]* \(#\ ##0.00\);_([$$-409]* &quot;-&quot;??_);_(@_)">
                  <c:v>92896.62</c:v>
                </c:pt>
                <c:pt idx="248" formatCode="_([$$-409]* #\ ##0.00_);_([$$-409]* \(#\ ##0.00\);_([$$-409]* &quot;-&quot;??_);_(@_)">
                  <c:v>91702.39</c:v>
                </c:pt>
                <c:pt idx="249" formatCode="_([$$-409]* #\ ##0.00_);_([$$-409]* \(#\ ##0.00\);_([$$-409]* &quot;-&quot;??_);_(@_)">
                  <c:v>91086.29</c:v>
                </c:pt>
                <c:pt idx="250" formatCode="_([$$-409]* #\ ##0.00_);_([$$-409]* \(#\ ##0.00\);_([$$-409]* &quot;-&quot;??_);_(@_)">
                  <c:v>86965.34</c:v>
                </c:pt>
                <c:pt idx="251" formatCode="_([$$-409]* #\ ##0.00_);_([$$-409]* \(#\ ##0.00\);_([$$-409]* &quot;-&quot;??_);_(@_)">
                  <c:v>84668.87</c:v>
                </c:pt>
                <c:pt idx="252" formatCode="_([$$-409]* #\ ##0.00_);_([$$-409]* \(#\ ##0.00\);_([$$-409]* &quot;-&quot;??_);_(@_)">
                  <c:v>83975.13</c:v>
                </c:pt>
                <c:pt idx="253" formatCode="_([$$-409]* #\ ##0.00_);_([$$-409]* \(#\ ##0.00\);_([$$-409]* &quot;-&quot;??_);_(@_)">
                  <c:v>84356.08</c:v>
                </c:pt>
                <c:pt idx="254" formatCode="_([$$-409]* #\ ##0.00_);_([$$-409]* \(#\ ##0.00\);_([$$-409]* &quot;-&quot;??_);_(@_)">
                  <c:v>84323.89</c:v>
                </c:pt>
                <c:pt idx="255" formatCode="_([$$-409]* #\ ##0.00_);_([$$-409]* \(#\ ##0.00\);_([$$-409]* &quot;-&quot;??_);_(@_)">
                  <c:v>83753.84</c:v>
                </c:pt>
                <c:pt idx="256" formatCode="_([$$-409]* #\ ##0.00_);_([$$-409]* \(#\ ##0.00\);_([$$-409]* &quot;-&quot;??_);_(@_)">
                  <c:v>83113.39</c:v>
                </c:pt>
                <c:pt idx="257" formatCode="_([$$-409]* #\ ##0.00_);_([$$-409]* \(#\ ##0.00\);_([$$-409]* &quot;-&quot;??_);_(@_)">
                  <c:v>83821.67</c:v>
                </c:pt>
                <c:pt idx="258" formatCode="_([$$-409]* #\ ##0.00_);_([$$-409]* \(#\ ##0.00\);_([$$-409]* &quot;-&quot;??_);_(@_)">
                  <c:v>83038.039999999994</c:v>
                </c:pt>
                <c:pt idx="259" formatCode="_([$$-409]* #\ ##0.00_);_([$$-409]* \(#\ ##0.00\);_([$$-409]* &quot;-&quot;??_);_(@_)">
                  <c:v>83108.59</c:v>
                </c:pt>
                <c:pt idx="260" formatCode="_([$$-409]* #\ ##0.00_);_([$$-409]* \(#\ ##0.00\);_([$$-409]* &quot;-&quot;??_);_(@_)">
                  <c:v>82769.14</c:v>
                </c:pt>
                <c:pt idx="261" formatCode="_([$$-409]* #\ ##0.00_);_([$$-409]* \(#\ ##0.00\);_([$$-409]* &quot;-&quot;??_);_(@_)">
                  <c:v>78951.13</c:v>
                </c:pt>
                <c:pt idx="262" formatCode="_([$$-409]* #\ ##0.00_);_([$$-409]* \(#\ ##0.00\);_([$$-409]* &quot;-&quot;??_);_(@_)">
                  <c:v>78428.89</c:v>
                </c:pt>
                <c:pt idx="263" formatCode="_([$$-409]* #\ ##0.00_);_([$$-409]* \(#\ ##0.00\);_([$$-409]* &quot;-&quot;??_);_(@_)">
                  <c:v>74609.119999999995</c:v>
                </c:pt>
                <c:pt idx="264" formatCode="_([$$-409]* #\ ##0.00_);_([$$-409]* \(#\ ##0.00\);_([$$-409]* &quot;-&quot;??_);_(@_)">
                  <c:v>76312.98</c:v>
                </c:pt>
                <c:pt idx="265" formatCode="_([$$-409]* #\ ##0.00_);_([$$-409]* \(#\ ##0.00\);_([$$-409]* &quot;-&quot;??_);_(@_)">
                  <c:v>74445.789999999994</c:v>
                </c:pt>
                <c:pt idx="266" formatCode="_([$$-409]* #\ ##0.00_);_([$$-409]* \(#\ ##0.00\);_([$$-409]* &quot;-&quot;??_);_(@_)">
                  <c:v>78565.34</c:v>
                </c:pt>
                <c:pt idx="267" formatCode="_([$$-409]* #\ ##0.00_);_([$$-409]* \(#\ ##0.00\);_([$$-409]* &quot;-&quot;??_);_(@_)">
                  <c:v>82379.3</c:v>
                </c:pt>
                <c:pt idx="268" formatCode="_([$$-409]* #\ ##0.00_);_([$$-409]* \(#\ ##0.00\);_([$$-409]* &quot;-&quot;??_);_(@_)">
                  <c:v>81677.11</c:v>
                </c:pt>
                <c:pt idx="269" formatCode="_([$$-409]* #\ ##0.00_);_([$$-409]* \(#\ ##0.00\);_([$$-409]* &quot;-&quot;??_);_(@_)">
                  <c:v>81289.84</c:v>
                </c:pt>
                <c:pt idx="270" formatCode="_([$$-409]* #\ ##0.00_);_([$$-409]* \(#\ ##0.00\);_([$$-409]* &quot;-&quot;??_);_(@_)">
                  <c:v>83933.61</c:v>
                </c:pt>
                <c:pt idx="271" formatCode="_([$$-409]* #\ ##0.00_);_([$$-409]* \(#\ ##0.00\);_([$$-409]* &quot;-&quot;??_);_(@_)">
                  <c:v>82255.83</c:v>
                </c:pt>
                <c:pt idx="272" formatCode="_([$$-409]* #\ ##0.00_);_([$$-409]* \(#\ ##0.00\);_([$$-409]* &quot;-&quot;??_);_(@_)">
                  <c:v>81311.67</c:v>
                </c:pt>
                <c:pt idx="273" formatCode="_([$$-409]* #\ ##0.00_);_([$$-409]* \(#\ ##0.00\);_([$$-409]* &quot;-&quot;??_);_(@_)">
                  <c:v>82065.820000000007</c:v>
                </c:pt>
                <c:pt idx="274" formatCode="_([$$-409]* #\ ##0.00_);_([$$-409]* \(#\ ##0.00\);_([$$-409]* &quot;-&quot;??_);_(@_)">
                  <c:v>81650.429999999993</c:v>
                </c:pt>
                <c:pt idx="275" formatCode="_([$$-409]* #\ ##0.00_);_([$$-409]* \(#\ ##0.00\);_([$$-409]* &quot;-&quot;??_);_(@_)">
                  <c:v>83588.75</c:v>
                </c:pt>
                <c:pt idx="276" formatCode="_([$$-409]* #\ ##0.00_);_([$$-409]* \(#\ ##0.00\);_([$$-409]* &quot;-&quot;??_);_(@_)">
                  <c:v>85863.17</c:v>
                </c:pt>
                <c:pt idx="277" formatCode="_([$$-409]* #\ ##0.00_);_([$$-409]* \(#\ ##0.00\);_([$$-409]* &quot;-&quot;??_);_(@_)">
                  <c:v>85892.57</c:v>
                </c:pt>
                <c:pt idx="278" formatCode="_([$$-409]* #\ ##0.00_);_([$$-409]* \(#\ ##0.00\);_([$$-409]* &quot;-&quot;??_);_(@_)">
                  <c:v>86350.54</c:v>
                </c:pt>
                <c:pt idx="279" formatCode="_([$$-409]* #\ ##0.00_);_([$$-409]* \(#\ ##0.00\);_([$$-409]* &quot;-&quot;??_);_(@_)">
                  <c:v>84965.73</c:v>
                </c:pt>
                <c:pt idx="280" formatCode="_([$$-409]* #\ ##0.00_);_([$$-409]* \(#\ ##0.00\);_([$$-409]* &quot;-&quot;??_);_(@_)">
                  <c:v>83687.98</c:v>
                </c:pt>
                <c:pt idx="281" formatCode="_([$$-409]* #\ ##0.00_);_([$$-409]* \(#\ ##0.00\);_([$$-409]* &quot;-&quot;??_);_(@_)">
                  <c:v>83942.15</c:v>
                </c:pt>
                <c:pt idx="282" formatCode="_([$$-409]* #\ ##0.00_);_([$$-409]* \(#\ ##0.00\);_([$$-409]* &quot;-&quot;??_);_(@_)">
                  <c:v>83194.69</c:v>
                </c:pt>
                <c:pt idx="283" formatCode="_([$$-409]* #\ ##0.00_);_([$$-409]* \(#\ ##0.00\);_([$$-409]* &quot;-&quot;??_);_(@_)">
                  <c:v>83652.59</c:v>
                </c:pt>
                <c:pt idx="284" formatCode="_([$$-409]* #\ ##0.00_);_([$$-409]* \(#\ ##0.00\);_([$$-409]* &quot;-&quot;??_);_(@_)">
                  <c:v>81925.429999999993</c:v>
                </c:pt>
                <c:pt idx="285" formatCode="_([$$-409]* #\ ##0.00_);_([$$-409]* \(#\ ##0.00\);_([$$-409]* &quot;-&quot;??_);_(@_)">
                  <c:v>81184.42</c:v>
                </c:pt>
                <c:pt idx="286" formatCode="_([$$-409]* #\ ##0.00_);_([$$-409]* \(#\ ##0.00\);_([$$-409]* &quot;-&quot;??_);_(@_)">
                  <c:v>82035.990000000005</c:v>
                </c:pt>
                <c:pt idx="287" formatCode="_([$$-409]* #\ ##0.00_);_([$$-409]* \(#\ ##0.00\);_([$$-409]* &quot;-&quot;??_);_(@_)">
                  <c:v>82424.08</c:v>
                </c:pt>
                <c:pt idx="288" formatCode="_([$$-409]* #\ ##0.00_);_([$$-409]* \(#\ ##0.00\);_([$$-409]* &quot;-&quot;??_);_(@_)">
                  <c:v>83677.22</c:v>
                </c:pt>
                <c:pt idx="289" formatCode="_([$$-409]* #\ ##0.00_);_([$$-409]* \(#\ ##0.00\);_([$$-409]* &quot;-&quot;??_);_(@_)">
                  <c:v>80288.479999999996</c:v>
                </c:pt>
                <c:pt idx="290" formatCode="_([$$-409]* #\ ##0.00_);_([$$-409]* \(#\ ##0.00\);_([$$-409]* &quot;-&quot;??_);_(@_)">
                  <c:v>79948.5</c:v>
                </c:pt>
                <c:pt idx="291" formatCode="_([$$-409]* #\ ##0.00_);_([$$-409]* \(#\ ##0.00\);_([$$-409]* &quot;-&quot;??_);_(@_)">
                  <c:v>80661.86</c:v>
                </c:pt>
                <c:pt idx="292" formatCode="_([$$-409]* #\ ##0.00_);_([$$-409]* \(#\ ##0.00\);_([$$-409]* &quot;-&quot;??_);_(@_)">
                  <c:v>76666.98</c:v>
                </c:pt>
                <c:pt idx="293" formatCode="_([$$-409]* #\ ##0.00_);_([$$-409]* \(#\ ##0.00\);_([$$-409]* &quot;-&quot;??_);_(@_)">
                  <c:v>77411.83</c:v>
                </c:pt>
                <c:pt idx="294" formatCode="_([$$-409]* #\ ##0.00_);_([$$-409]* \(#\ ##0.00\);_([$$-409]* &quot;-&quot;??_);_(@_)">
                  <c:v>82233.119999999995</c:v>
                </c:pt>
                <c:pt idx="295" formatCode="_([$$-409]* #\ ##0.00_);_([$$-409]* \(#\ ##0.00\);_([$$-409]* &quot;-&quot;??_);_(@_)">
                  <c:v>85180.160000000003</c:v>
                </c:pt>
                <c:pt idx="296" formatCode="_([$$-409]* #\ ##0.00_);_([$$-409]* \(#\ ##0.00\);_([$$-409]* &quot;-&quot;??_);_(@_)">
                  <c:v>84838.57</c:v>
                </c:pt>
                <c:pt idx="297" formatCode="_([$$-409]* #\ ##0.00_);_([$$-409]* \(#\ ##0.00\);_([$$-409]* &quot;-&quot;??_);_(@_)">
                  <c:v>87869.82</c:v>
                </c:pt>
                <c:pt idx="298" formatCode="_([$$-409]* #\ ##0.00_);_([$$-409]* \(#\ ##0.00\);_([$$-409]* &quot;-&quot;??_);_(@_)">
                  <c:v>86409.91</c:v>
                </c:pt>
                <c:pt idx="299" formatCode="_([$$-409]* #\ ##0.00_);_([$$-409]* \(#\ ##0.00\);_([$$-409]* &quot;-&quot;??_);_(@_)">
                  <c:v>81548.210000000006</c:v>
                </c:pt>
                <c:pt idx="300" formatCode="_([$$-409]* #\ ##0.00_);_([$$-409]* \(#\ ##0.00\);_([$$-409]* &quot;-&quot;??_);_(@_)">
                  <c:v>85123.33</c:v>
                </c:pt>
                <c:pt idx="301" formatCode="_([$$-409]* #\ ##0.00_);_([$$-409]* \(#\ ##0.00\);_([$$-409]* &quot;-&quot;??_);_(@_)">
                  <c:v>85047.56</c:v>
                </c:pt>
                <c:pt idx="302" formatCode="_([$$-409]* #\ ##0.00_);_([$$-409]* \(#\ ##0.00\);_([$$-409]* &quot;-&quot;??_);_(@_)">
                  <c:v>78273.03</c:v>
                </c:pt>
                <c:pt idx="303" formatCode="_([$$-409]* #\ ##0.00_);_([$$-409]* \(#\ ##0.00\);_([$$-409]* &quot;-&quot;??_);_(@_)">
                  <c:v>78273.03</c:v>
                </c:pt>
                <c:pt idx="304" formatCode="_([$$-409]* #\ ##0.00_);_([$$-409]* \(#\ ##0.00\);_([$$-409]* &quot;-&quot;??_);_(@_)">
                  <c:v>82543.649999999994</c:v>
                </c:pt>
                <c:pt idx="305" formatCode="_([$$-409]* #\ ##0.00_);_([$$-409]* \(#\ ##0.00\);_([$$-409]* &quot;-&quot;??_);_(@_)">
                  <c:v>82156.990000000005</c:v>
                </c:pt>
                <c:pt idx="306" formatCode="_([$$-409]* #\ ##0.00_);_([$$-409]* \(#\ ##0.00\);_([$$-409]* &quot;-&quot;??_);_(@_)">
                  <c:v>86003.11</c:v>
                </c:pt>
                <c:pt idx="307" formatCode="_([$$-409]* #\ ##0.00_);_([$$-409]* \(#\ ##0.00\);_([$$-409]* &quot;-&quot;??_);_(@_)">
                  <c:v>93642.49</c:v>
                </c:pt>
                <c:pt idx="308" formatCode="_([$$-409]* #\ ##0.00_);_([$$-409]* \(#\ ##0.00\);_([$$-409]* &quot;-&quot;??_);_(@_)">
                  <c:v>94872.28</c:v>
                </c:pt>
                <c:pt idx="309" formatCode="_([$$-409]* #\ ##0.00_);_([$$-409]* \(#\ ##0.00\);_([$$-409]* &quot;-&quot;??_);_(@_)">
                  <c:v>94872.28</c:v>
                </c:pt>
                <c:pt idx="310" formatCode="_([$$-409]* #\ ##0.00_);_([$$-409]* \(#\ ##0.00\);_([$$-409]* &quot;-&quot;??_);_(@_)">
                  <c:v>96330.9</c:v>
                </c:pt>
                <c:pt idx="311" formatCode="_([$$-409]* #\ ##0.00_);_([$$-409]* \(#\ ##0.00\);_([$$-409]* &quot;-&quot;??_);_(@_)">
                  <c:v>94846.74</c:v>
                </c:pt>
                <c:pt idx="312" formatCode="_([$$-409]* #\ ##0.00_);_([$$-409]* \(#\ ##0.00\);_([$$-409]* &quot;-&quot;??_);_(@_)">
                  <c:v>93375.16</c:v>
                </c:pt>
                <c:pt idx="313" formatCode="_([$$-409]* #\ ##0.00_);_([$$-409]* \(#\ ##0.00\);_([$$-409]* &quot;-&quot;??_);_(@_)">
                  <c:v>95266.93</c:v>
                </c:pt>
                <c:pt idx="314" formatCode="_([$$-409]* #\ ##0.00_);_([$$-409]* \(#\ ##0.00\);_([$$-409]* &quot;-&quot;??_);_(@_)">
                  <c:v>96696.51</c:v>
                </c:pt>
                <c:pt idx="315" formatCode="_([$$-409]* #\ ##0.00_);_([$$-409]* \(#\ ##0.00\);_([$$-409]* &quot;-&quot;??_);_(@_)">
                  <c:v>96309.52</c:v>
                </c:pt>
                <c:pt idx="316" formatCode="_([$$-409]* #\ ##0.00_);_([$$-409]* \(#\ ##0.00\);_([$$-409]* &quot;-&quot;??_);_(@_)">
                  <c:v>95284.24</c:v>
                </c:pt>
                <c:pt idx="317" formatCode="_([$$-409]* #\ ##0.00_);_([$$-409]* \(#\ ##0.00\);_([$$-409]* &quot;-&quot;??_);_(@_)">
                  <c:v>94121.16</c:v>
                </c:pt>
                <c:pt idx="318" formatCode="_([$$-409]* #\ ##0.00_);_([$$-409]* \(#\ ##0.00\);_([$$-409]* &quot;-&quot;??_);_(@_)">
                  <c:v>94902.07</c:v>
                </c:pt>
                <c:pt idx="319" formatCode="_([$$-409]* #\ ##0.00_);_([$$-409]* \(#\ ##0.00\);_([$$-409]* &quot;-&quot;??_);_(@_)">
                  <c:v>94807.96</c:v>
                </c:pt>
                <c:pt idx="320" formatCode="_([$$-409]* #\ ##0.00_);_([$$-409]* \(#\ ##0.00\);_([$$-409]* &quot;-&quot;??_);_(@_)">
                  <c:v>2.3123</c:v>
                </c:pt>
                <c:pt idx="321" formatCode="_([$$-409]* #\ ##0.00_);_([$$-409]* \(#\ ##0.00\);_([$$-409]* &quot;-&quot;??_);_(@_)">
                  <c:v>95695.24</c:v>
                </c:pt>
                <c:pt idx="322" formatCode="_([$$-409]* #\ ##0.00_);_([$$-409]* \(#\ ##0.00\);_([$$-409]* &quot;-&quot;??_);_(@_)">
                  <c:v>95695.24</c:v>
                </c:pt>
                <c:pt idx="323" formatCode="_([$$-409]* #\ ##0.00_);_([$$-409]* \(#\ ##0.00\);_([$$-409]* &quot;-&quot;??_);_(@_)">
                  <c:v>95759.48</c:v>
                </c:pt>
                <c:pt idx="324" formatCode="_([$$-409]* #\ ##0.00_);_([$$-409]* \(#\ ##0.00\);_([$$-409]* &quot;-&quot;??_);_(@_)">
                  <c:v>96184.53</c:v>
                </c:pt>
                <c:pt idx="325" formatCode="_([$$-409]* #\ ##0.00_);_([$$-409]* \(#\ ##0.00\);_([$$-409]* &quot;-&quot;??_);_(@_)">
                  <c:v>96503.88</c:v>
                </c:pt>
                <c:pt idx="326" formatCode="_([$$-409]* #\ ##0.00_);_([$$-409]* \(#\ ##0.00\);_([$$-409]* &quot;-&quot;??_);_(@_)">
                  <c:v>91439.89</c:v>
                </c:pt>
                <c:pt idx="327" formatCode="_([$$-409]* #\ ##0.00_);_([$$-409]* \(#\ ##0.00\);_([$$-409]* &quot;-&quot;??_);_(@_)">
                  <c:v>96606.97</c:v>
                </c:pt>
                <c:pt idx="328" formatCode="_([$$-409]* #\ ##0.00_);_([$$-409]* \(#\ ##0.00\);_([$$-409]* &quot;-&quot;??_);_(@_)">
                  <c:v>101566.86</c:v>
                </c:pt>
                <c:pt idx="329" formatCode="_([$$-409]* #\ ##0.00_);_([$$-409]* \(#\ ##0.00\);_([$$-409]* &quot;-&quot;??_);_(@_)">
                  <c:v>103372.74</c:v>
                </c:pt>
                <c:pt idx="330" formatCode="_([$$-409]* #\ ##0.00_);_([$$-409]* \(#\ ##0.00\);_([$$-409]* &quot;-&quot;??_);_(@_)">
                  <c:v>100241.01</c:v>
                </c:pt>
                <c:pt idx="331" formatCode="_([$$-409]* #\ ##0.00_);_([$$-409]* \(#\ ##0.00\);_([$$-409]* &quot;-&quot;??_);_(@_)">
                  <c:v>100254.05</c:v>
                </c:pt>
                <c:pt idx="332" formatCode="_([$$-409]* #\ ##0.00_);_([$$-409]* \(#\ ##0.00\);_([$$-409]* &quot;-&quot;??_);_(@_)">
                  <c:v>97810.5</c:v>
                </c:pt>
                <c:pt idx="333" formatCode="_([$$-409]* #\ ##0.00_);_([$$-409]* \(#\ ##0.00\);_([$$-409]* &quot;-&quot;??_);_(@_)">
                  <c:v>104467.09</c:v>
                </c:pt>
                <c:pt idx="334" formatCode="_([$$-409]* #\ ##0.00_);_([$$-409]* \(#\ ##0.00\);_([$$-409]* &quot;-&quot;??_);_(@_)">
                  <c:v>102809.91</c:v>
                </c:pt>
                <c:pt idx="335" formatCode="_([$$-409]* #\ ##0.00_);_([$$-409]* \(#\ ##0.00\);_([$$-409]* &quot;-&quot;??_);_(@_)">
                  <c:v>102809.91</c:v>
                </c:pt>
                <c:pt idx="336" formatCode="_([$$-409]* #\ ##0.00_);_([$$-409]* \(#\ ##0.00\);_([$$-409]* &quot;-&quot;??_);_(@_)">
                  <c:v>101259.87</c:v>
                </c:pt>
                <c:pt idx="337" formatCode="_([$$-409]* #\ ##0.00_);_([$$-409]* \(#\ ##0.00\);_([$$-409]* &quot;-&quot;??_);_(@_)">
                  <c:v>103358.35</c:v>
                </c:pt>
                <c:pt idx="338" formatCode="_([$$-409]* #\ ##0.00_);_([$$-409]* \(#\ ##0.00\);_([$$-409]* &quot;-&quot;??_);_(@_)">
                  <c:v>100138.69</c:v>
                </c:pt>
                <c:pt idx="339" formatCode="_([$$-409]* #\ ##0.00_);_([$$-409]* \(#\ ##0.00\);_([$$-409]* &quot;-&quot;??_);_(@_)">
                  <c:v>99561.39</c:v>
                </c:pt>
                <c:pt idx="340" formatCode="_([$$-409]* #\ ##0.00_);_([$$-409]* \(#\ ##0.00\);_([$$-409]* &quot;-&quot;??_);_(@_)">
                  <c:v>103443.83</c:v>
                </c:pt>
                <c:pt idx="341" formatCode="_([$$-409]* #\ ##0.00_);_([$$-409]* \(#\ ##0.00\);_([$$-409]* &quot;-&quot;??_);_(@_)">
                  <c:v>99392.68</c:v>
                </c:pt>
                <c:pt idx="342" formatCode="_([$$-409]* #\ ##0.00_);_([$$-409]* \(#\ ##0.00\);_([$$-409]* &quot;-&quot;??_);_(@_)">
                  <c:v>99392.68</c:v>
                </c:pt>
                <c:pt idx="343" formatCode="_([$$-409]* #\ ##0.00_);_([$$-409]* \(#\ ##0.00\);_([$$-409]* &quot;-&quot;??_);_(@_)">
                  <c:v>97392.8</c:v>
                </c:pt>
                <c:pt idx="344" formatCode="_([$$-409]* #\ ##0.00_);_([$$-409]* \(#\ ##0.00\);_([$$-409]* &quot;-&quot;??_);_(@_)">
                  <c:v>96436.71</c:v>
                </c:pt>
                <c:pt idx="345" formatCode="_([$$-409]* #\ ##0.00_);_([$$-409]* \(#\ ##0.00\);_([$$-409]* &quot;-&quot;??_);_(@_)">
                  <c:v>94169.06</c:v>
                </c:pt>
                <c:pt idx="346" formatCode="_([$$-409]* #\ ##0.00_);_([$$-409]* \(#\ ##0.00\);_([$$-409]* &quot;-&quot;??_);_(@_)">
                  <c:v>89612.68</c:v>
                </c:pt>
                <c:pt idx="347" formatCode="_([$$-409]* #\ ##0.00_);_([$$-409]* \(#\ ##0.00\);_([$$-409]* &quot;-&quot;??_);_(@_)">
                  <c:v>93728.76</c:v>
                </c:pt>
                <c:pt idx="348" formatCode="_([$$-409]* #\ ##0.00_);_([$$-409]* \(#\ ##0.00\);_([$$-409]* &quot;-&quot;??_);_(@_)">
                  <c:v>91681.46</c:v>
                </c:pt>
                <c:pt idx="349" formatCode="_([$$-409]* #\ ##0.00_);_([$$-409]* \(#\ ##0.00\);_([$$-409]* &quot;-&quot;??_);_(@_)">
                  <c:v>91681.46</c:v>
                </c:pt>
                <c:pt idx="350" formatCode="_([$$-409]* #\ ##0.00_);_([$$-409]* \(#\ ##0.00\);_([$$-409]* &quot;-&quot;??_);_(@_)">
                  <c:v>91262.09</c:v>
                </c:pt>
                <c:pt idx="351" formatCode="_([$$-409]* #\ ##0.00_);_([$$-409]* \(#\ ##0.00\);_([$$-409]* &quot;-&quot;??_);_(@_)">
                  <c:v>92727.94</c:v>
                </c:pt>
                <c:pt idx="352" formatCode="_([$$-409]* #\ ##0.00_);_([$$-409]* \(#\ ##0.00\);_([$$-409]* &quot;-&quot;??_);_(@_)">
                  <c:v>96151.41</c:v>
                </c:pt>
                <c:pt idx="353" formatCode="_([$$-409]* #\ ##0.00_);_([$$-409]* \(#\ ##0.00\);_([$$-409]* &quot;-&quot;??_);_(@_)">
                  <c:v>97670.720000000001</c:v>
                </c:pt>
                <c:pt idx="354" formatCode="_([$$-409]* #\ ##0.00_);_([$$-409]* \(#\ ##0.00\);_([$$-409]* &quot;-&quot;??_);_(@_)">
                  <c:v>97251.53</c:v>
                </c:pt>
                <c:pt idx="355" formatCode="_([$$-409]* #\ ##0.00_);_([$$-409]* \(#\ ##0.00\);_([$$-409]* &quot;-&quot;??_);_(@_)">
                  <c:v>93284.25</c:v>
                </c:pt>
                <c:pt idx="356" formatCode="_([$$-409]* #\ ##0.00_);_([$$-409]* \(#\ ##0.00\);_([$$-409]* &quot;-&quot;??_);_(@_)">
                  <c:v>93284.25</c:v>
                </c:pt>
                <c:pt idx="357" formatCode="_([$$-409]* #\ ##0.00_);_([$$-409]* \(#\ ##0.00\);_([$$-409]* &quot;-&quot;??_);_(@_)">
                  <c:v>94097.07</c:v>
                </c:pt>
                <c:pt idx="358" formatCode="_([$$-409]* #\ ##0.00_);_([$$-409]* \(#\ ##0.00\);_([$$-409]* &quot;-&quot;??_);_(@_)">
                  <c:v>92717.04</c:v>
                </c:pt>
                <c:pt idx="359" formatCode="_([$$-409]* #\ ##0.00_);_([$$-409]* \(#\ ##0.00\);_([$$-409]* &quot;-&quot;??_);_(@_)">
                  <c:v>91794</c:v>
                </c:pt>
                <c:pt idx="360" formatCode="_([$$-409]* #\ ##0.00_);_([$$-409]* \(#\ ##0.00\);_([$$-409]* &quot;-&quot;??_);_(@_)">
                  <c:v>91262.02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61-3945-826A-00A7357DACBF}"/>
            </c:ext>
          </c:extLst>
        </c:ser>
        <c:ser>
          <c:idx val="3"/>
          <c:order val="3"/>
          <c:tx>
            <c:strRef>
              <c:f>'Present Values'!$E$9</c:f>
              <c:strCache>
                <c:ptCount val="1"/>
                <c:pt idx="0">
                  <c:v> Close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'Present Values'!$A$8:$A$368</c:f>
              <c:strCache>
                <c:ptCount val="361"/>
                <c:pt idx="1">
                  <c:v>Date</c:v>
                </c:pt>
                <c:pt idx="2">
                  <c:v>28/12/2025</c:v>
                </c:pt>
                <c:pt idx="3">
                  <c:v>27/12/2025</c:v>
                </c:pt>
                <c:pt idx="4">
                  <c:v>26/12/2025</c:v>
                </c:pt>
                <c:pt idx="5">
                  <c:v>25/12/2025</c:v>
                </c:pt>
                <c:pt idx="6">
                  <c:v>24/12/2025</c:v>
                </c:pt>
                <c:pt idx="7">
                  <c:v>23/12/2025</c:v>
                </c:pt>
                <c:pt idx="8">
                  <c:v>22/12/2025</c:v>
                </c:pt>
                <c:pt idx="9">
                  <c:v>21/12/2025</c:v>
                </c:pt>
                <c:pt idx="10">
                  <c:v>20/12/2025</c:v>
                </c:pt>
                <c:pt idx="11">
                  <c:v>19/12/2025</c:v>
                </c:pt>
                <c:pt idx="12">
                  <c:v>18/12/2025</c:v>
                </c:pt>
                <c:pt idx="13">
                  <c:v>17/12/2025</c:v>
                </c:pt>
                <c:pt idx="14">
                  <c:v>16/12/2025</c:v>
                </c:pt>
                <c:pt idx="15">
                  <c:v>15/12/2025</c:v>
                </c:pt>
                <c:pt idx="16">
                  <c:v>14/12/2025</c:v>
                </c:pt>
                <c:pt idx="17">
                  <c:v>13/12/2025</c:v>
                </c:pt>
                <c:pt idx="18">
                  <c:v>12/12/2025</c:v>
                </c:pt>
                <c:pt idx="19">
                  <c:v>11/12/2025</c:v>
                </c:pt>
                <c:pt idx="20">
                  <c:v>10/12/2025</c:v>
                </c:pt>
                <c:pt idx="21">
                  <c:v>09/12/2025</c:v>
                </c:pt>
                <c:pt idx="22">
                  <c:v>08/12/2025</c:v>
                </c:pt>
                <c:pt idx="23">
                  <c:v>07/12/2025</c:v>
                </c:pt>
                <c:pt idx="24">
                  <c:v>06/12/2025</c:v>
                </c:pt>
                <c:pt idx="25">
                  <c:v>05/12/2025</c:v>
                </c:pt>
                <c:pt idx="26">
                  <c:v>04/12/2025</c:v>
                </c:pt>
                <c:pt idx="27">
                  <c:v>03/12/2025</c:v>
                </c:pt>
                <c:pt idx="28">
                  <c:v>02/12/2025</c:v>
                </c:pt>
                <c:pt idx="29">
                  <c:v>01/12/2025</c:v>
                </c:pt>
                <c:pt idx="30">
                  <c:v>30/11/2025</c:v>
                </c:pt>
                <c:pt idx="31">
                  <c:v>29/11/2025</c:v>
                </c:pt>
                <c:pt idx="32">
                  <c:v>28/11/2025</c:v>
                </c:pt>
                <c:pt idx="33">
                  <c:v>27/11/2025</c:v>
                </c:pt>
                <c:pt idx="34">
                  <c:v>26/11/2025</c:v>
                </c:pt>
                <c:pt idx="35">
                  <c:v>25/11/2025</c:v>
                </c:pt>
                <c:pt idx="36">
                  <c:v>24/11/2025</c:v>
                </c:pt>
                <c:pt idx="37">
                  <c:v>23/11/2025</c:v>
                </c:pt>
                <c:pt idx="38">
                  <c:v>22/11/2025</c:v>
                </c:pt>
                <c:pt idx="39">
                  <c:v>21/11/2025</c:v>
                </c:pt>
                <c:pt idx="40">
                  <c:v>20/11/2025</c:v>
                </c:pt>
                <c:pt idx="41">
                  <c:v>19/11/2025</c:v>
                </c:pt>
                <c:pt idx="42">
                  <c:v>18/11/2025</c:v>
                </c:pt>
                <c:pt idx="43">
                  <c:v>17/11/2025</c:v>
                </c:pt>
                <c:pt idx="44">
                  <c:v>16/11/2025</c:v>
                </c:pt>
                <c:pt idx="45">
                  <c:v>15/11/2025</c:v>
                </c:pt>
                <c:pt idx="46">
                  <c:v>14/11/2025</c:v>
                </c:pt>
                <c:pt idx="47">
                  <c:v>13/11/2025</c:v>
                </c:pt>
                <c:pt idx="48">
                  <c:v>12/11/2025</c:v>
                </c:pt>
                <c:pt idx="49">
                  <c:v>11/11/2025</c:v>
                </c:pt>
                <c:pt idx="50">
                  <c:v>10/11/2025</c:v>
                </c:pt>
                <c:pt idx="51">
                  <c:v>09/11/2025</c:v>
                </c:pt>
                <c:pt idx="52">
                  <c:v>08/11/2025</c:v>
                </c:pt>
                <c:pt idx="53">
                  <c:v>07/11/2025</c:v>
                </c:pt>
                <c:pt idx="54">
                  <c:v>06/11/2025</c:v>
                </c:pt>
                <c:pt idx="55">
                  <c:v>05/11/2025</c:v>
                </c:pt>
                <c:pt idx="56">
                  <c:v>04/11/2025</c:v>
                </c:pt>
                <c:pt idx="57">
                  <c:v>03/11/2025</c:v>
                </c:pt>
                <c:pt idx="58">
                  <c:v>02/11/2025</c:v>
                </c:pt>
                <c:pt idx="59">
                  <c:v>31/10/2025</c:v>
                </c:pt>
                <c:pt idx="60">
                  <c:v>30/10/2025</c:v>
                </c:pt>
                <c:pt idx="61">
                  <c:v>29/10/2025</c:v>
                </c:pt>
                <c:pt idx="62">
                  <c:v>28/10/2025</c:v>
                </c:pt>
                <c:pt idx="63">
                  <c:v>27/10/2025</c:v>
                </c:pt>
                <c:pt idx="64">
                  <c:v>26/10/2025</c:v>
                </c:pt>
                <c:pt idx="65">
                  <c:v>25/10/2025</c:v>
                </c:pt>
                <c:pt idx="66">
                  <c:v>24/10/2025</c:v>
                </c:pt>
                <c:pt idx="67">
                  <c:v>23/10/2025</c:v>
                </c:pt>
                <c:pt idx="68">
                  <c:v>22/10/2025</c:v>
                </c:pt>
                <c:pt idx="69">
                  <c:v>21/10/2025</c:v>
                </c:pt>
                <c:pt idx="70">
                  <c:v>20/10/2025</c:v>
                </c:pt>
                <c:pt idx="71">
                  <c:v>18/10/2025</c:v>
                </c:pt>
                <c:pt idx="72">
                  <c:v>17/10/2025</c:v>
                </c:pt>
                <c:pt idx="73">
                  <c:v>16/10/2025</c:v>
                </c:pt>
                <c:pt idx="74">
                  <c:v>15/10/2025</c:v>
                </c:pt>
                <c:pt idx="75">
                  <c:v>14/10/2025</c:v>
                </c:pt>
                <c:pt idx="76">
                  <c:v>13/10/2025</c:v>
                </c:pt>
                <c:pt idx="77">
                  <c:v>12/10/2025</c:v>
                </c:pt>
                <c:pt idx="78">
                  <c:v>11/10/2025</c:v>
                </c:pt>
                <c:pt idx="79">
                  <c:v>10/10/2025</c:v>
                </c:pt>
                <c:pt idx="80">
                  <c:v>09/10/2025</c:v>
                </c:pt>
                <c:pt idx="81">
                  <c:v>08/10/2025</c:v>
                </c:pt>
                <c:pt idx="82">
                  <c:v>07/10/2025</c:v>
                </c:pt>
                <c:pt idx="83">
                  <c:v>06/10/2025</c:v>
                </c:pt>
                <c:pt idx="84">
                  <c:v>05/10/2025</c:v>
                </c:pt>
                <c:pt idx="85">
                  <c:v>04/10/2025</c:v>
                </c:pt>
                <c:pt idx="86">
                  <c:v>03/10/2025</c:v>
                </c:pt>
                <c:pt idx="87">
                  <c:v>02/10/2025</c:v>
                </c:pt>
                <c:pt idx="88">
                  <c:v>01/10/2025</c:v>
                </c:pt>
                <c:pt idx="89">
                  <c:v>30/09/2025</c:v>
                </c:pt>
                <c:pt idx="90">
                  <c:v>29/09/2025</c:v>
                </c:pt>
                <c:pt idx="91">
                  <c:v>28/09/2025</c:v>
                </c:pt>
                <c:pt idx="92">
                  <c:v>27/09/2025</c:v>
                </c:pt>
                <c:pt idx="93">
                  <c:v>26/09/2025</c:v>
                </c:pt>
                <c:pt idx="94">
                  <c:v>25/09/2025</c:v>
                </c:pt>
                <c:pt idx="95">
                  <c:v>24/09/2025</c:v>
                </c:pt>
                <c:pt idx="96">
                  <c:v>23/09/2025</c:v>
                </c:pt>
                <c:pt idx="97">
                  <c:v>22/09/2025</c:v>
                </c:pt>
                <c:pt idx="98">
                  <c:v>21/09/2025</c:v>
                </c:pt>
                <c:pt idx="99">
                  <c:v>20/09/2025</c:v>
                </c:pt>
                <c:pt idx="100">
                  <c:v>19/09/2025</c:v>
                </c:pt>
                <c:pt idx="101">
                  <c:v>18/09/2025</c:v>
                </c:pt>
                <c:pt idx="102">
                  <c:v>17/09/2025</c:v>
                </c:pt>
                <c:pt idx="103">
                  <c:v>16/09/2025</c:v>
                </c:pt>
                <c:pt idx="104">
                  <c:v>15/09/2025</c:v>
                </c:pt>
                <c:pt idx="105">
                  <c:v>14/09/2025</c:v>
                </c:pt>
                <c:pt idx="106">
                  <c:v>13/09/2025</c:v>
                </c:pt>
                <c:pt idx="107">
                  <c:v>12/09/2025</c:v>
                </c:pt>
                <c:pt idx="108">
                  <c:v>11/09/2025</c:v>
                </c:pt>
                <c:pt idx="109">
                  <c:v>10/09/2025</c:v>
                </c:pt>
                <c:pt idx="110">
                  <c:v>09/09/2025</c:v>
                </c:pt>
                <c:pt idx="111">
                  <c:v>08/09/2025</c:v>
                </c:pt>
                <c:pt idx="112">
                  <c:v>07/09/2025</c:v>
                </c:pt>
                <c:pt idx="113">
                  <c:v>06/09/2025</c:v>
                </c:pt>
                <c:pt idx="114">
                  <c:v>05/09/2025</c:v>
                </c:pt>
                <c:pt idx="115">
                  <c:v>04/09/2025</c:v>
                </c:pt>
                <c:pt idx="116">
                  <c:v>03/09/2025</c:v>
                </c:pt>
                <c:pt idx="117">
                  <c:v>02/09/2025</c:v>
                </c:pt>
                <c:pt idx="118">
                  <c:v>01/09/2025</c:v>
                </c:pt>
                <c:pt idx="119">
                  <c:v>31/08/2025</c:v>
                </c:pt>
                <c:pt idx="120">
                  <c:v>30/08/2025</c:v>
                </c:pt>
                <c:pt idx="121">
                  <c:v>29/08/2025</c:v>
                </c:pt>
                <c:pt idx="122">
                  <c:v>28/08/2025</c:v>
                </c:pt>
                <c:pt idx="123">
                  <c:v>27/08/2025</c:v>
                </c:pt>
                <c:pt idx="124">
                  <c:v>26/08/2025</c:v>
                </c:pt>
                <c:pt idx="125">
                  <c:v>25/08/2025</c:v>
                </c:pt>
                <c:pt idx="126">
                  <c:v>24/08/2025</c:v>
                </c:pt>
                <c:pt idx="127">
                  <c:v>23/08/2025</c:v>
                </c:pt>
                <c:pt idx="128">
                  <c:v>22/08/2025</c:v>
                </c:pt>
                <c:pt idx="129">
                  <c:v>21/08/2025</c:v>
                </c:pt>
                <c:pt idx="130">
                  <c:v>20/08/2025</c:v>
                </c:pt>
                <c:pt idx="131">
                  <c:v>19/08/2025</c:v>
                </c:pt>
                <c:pt idx="132">
                  <c:v>18/08/2025</c:v>
                </c:pt>
                <c:pt idx="133">
                  <c:v>17/08/2025</c:v>
                </c:pt>
                <c:pt idx="134">
                  <c:v>16/08/2025</c:v>
                </c:pt>
                <c:pt idx="135">
                  <c:v>15/08/2025</c:v>
                </c:pt>
                <c:pt idx="136">
                  <c:v>14/08/2025</c:v>
                </c:pt>
                <c:pt idx="137">
                  <c:v>13/08/2025</c:v>
                </c:pt>
                <c:pt idx="138">
                  <c:v>12/08/2025</c:v>
                </c:pt>
                <c:pt idx="139">
                  <c:v>11/08/2025</c:v>
                </c:pt>
                <c:pt idx="140">
                  <c:v>10/08/2025</c:v>
                </c:pt>
                <c:pt idx="141">
                  <c:v>09/08/2025</c:v>
                </c:pt>
                <c:pt idx="142">
                  <c:v>08/08/2025</c:v>
                </c:pt>
                <c:pt idx="143">
                  <c:v>07/08/2025</c:v>
                </c:pt>
                <c:pt idx="144">
                  <c:v>06/08/2025</c:v>
                </c:pt>
                <c:pt idx="145">
                  <c:v>05/08/2025</c:v>
                </c:pt>
                <c:pt idx="146">
                  <c:v>04/08/2025</c:v>
                </c:pt>
                <c:pt idx="147">
                  <c:v>03/08/2025</c:v>
                </c:pt>
                <c:pt idx="148">
                  <c:v>02/08/2025</c:v>
                </c:pt>
                <c:pt idx="149">
                  <c:v>01/08/2025</c:v>
                </c:pt>
                <c:pt idx="150">
                  <c:v>31/07/2025</c:v>
                </c:pt>
                <c:pt idx="151">
                  <c:v>30/07/2025</c:v>
                </c:pt>
                <c:pt idx="152">
                  <c:v>29/07/2025</c:v>
                </c:pt>
                <c:pt idx="153">
                  <c:v>28/07/2025</c:v>
                </c:pt>
                <c:pt idx="154">
                  <c:v>27/07/2025</c:v>
                </c:pt>
                <c:pt idx="155">
                  <c:v>26/07/2025</c:v>
                </c:pt>
                <c:pt idx="156">
                  <c:v>25/07/2025</c:v>
                </c:pt>
                <c:pt idx="157">
                  <c:v>24/07/2025</c:v>
                </c:pt>
                <c:pt idx="158">
                  <c:v>23/07/2025</c:v>
                </c:pt>
                <c:pt idx="159">
                  <c:v>22/07/2025</c:v>
                </c:pt>
                <c:pt idx="160">
                  <c:v>21/07/2025</c:v>
                </c:pt>
                <c:pt idx="161">
                  <c:v>20/07/2025</c:v>
                </c:pt>
                <c:pt idx="162">
                  <c:v>19/07/2025</c:v>
                </c:pt>
                <c:pt idx="163">
                  <c:v>18/07/2025</c:v>
                </c:pt>
                <c:pt idx="164">
                  <c:v>17/07/2025</c:v>
                </c:pt>
                <c:pt idx="165">
                  <c:v>16/07/2025</c:v>
                </c:pt>
                <c:pt idx="166">
                  <c:v>15/07/2025</c:v>
                </c:pt>
                <c:pt idx="167">
                  <c:v>14/07/2025</c:v>
                </c:pt>
                <c:pt idx="168">
                  <c:v>13/07/2025</c:v>
                </c:pt>
                <c:pt idx="169">
                  <c:v>12/07/2025</c:v>
                </c:pt>
                <c:pt idx="170">
                  <c:v>11/07/2025</c:v>
                </c:pt>
                <c:pt idx="171">
                  <c:v>10/07/2025</c:v>
                </c:pt>
                <c:pt idx="172">
                  <c:v>09/07/2025</c:v>
                </c:pt>
                <c:pt idx="173">
                  <c:v>08/07/2025</c:v>
                </c:pt>
                <c:pt idx="174">
                  <c:v>07/07/2025</c:v>
                </c:pt>
                <c:pt idx="175">
                  <c:v>06/07/2025</c:v>
                </c:pt>
                <c:pt idx="176">
                  <c:v>05/07/2025</c:v>
                </c:pt>
                <c:pt idx="177">
                  <c:v>04/07/2025</c:v>
                </c:pt>
                <c:pt idx="178">
                  <c:v>03/07/2025</c:v>
                </c:pt>
                <c:pt idx="179">
                  <c:v>02/07/2025</c:v>
                </c:pt>
                <c:pt idx="180">
                  <c:v>01/07/2025</c:v>
                </c:pt>
                <c:pt idx="181">
                  <c:v>30/06/2025</c:v>
                </c:pt>
                <c:pt idx="182">
                  <c:v>29/06/2025</c:v>
                </c:pt>
                <c:pt idx="183">
                  <c:v>28/06/2025</c:v>
                </c:pt>
                <c:pt idx="184">
                  <c:v>27/06/2025</c:v>
                </c:pt>
                <c:pt idx="185">
                  <c:v>26/06/2025</c:v>
                </c:pt>
                <c:pt idx="186">
                  <c:v>25/06/2025</c:v>
                </c:pt>
                <c:pt idx="187">
                  <c:v>24/06/2025</c:v>
                </c:pt>
                <c:pt idx="188">
                  <c:v>23/06/2025</c:v>
                </c:pt>
                <c:pt idx="189">
                  <c:v>22/06/2025</c:v>
                </c:pt>
                <c:pt idx="190">
                  <c:v>21/06/2025</c:v>
                </c:pt>
                <c:pt idx="191">
                  <c:v>20/06/2025</c:v>
                </c:pt>
                <c:pt idx="192">
                  <c:v>19/06/2025</c:v>
                </c:pt>
                <c:pt idx="193">
                  <c:v>18/06/2025</c:v>
                </c:pt>
                <c:pt idx="194">
                  <c:v>17/06/2025</c:v>
                </c:pt>
                <c:pt idx="195">
                  <c:v>16/06/2025</c:v>
                </c:pt>
                <c:pt idx="196">
                  <c:v>15/06/2025</c:v>
                </c:pt>
                <c:pt idx="197">
                  <c:v>14/06/2025</c:v>
                </c:pt>
                <c:pt idx="198">
                  <c:v>13/06/2025</c:v>
                </c:pt>
                <c:pt idx="199">
                  <c:v>12/06/2025</c:v>
                </c:pt>
                <c:pt idx="200">
                  <c:v>11/06/2025</c:v>
                </c:pt>
                <c:pt idx="201">
                  <c:v>10/06/2025</c:v>
                </c:pt>
                <c:pt idx="202">
                  <c:v>09/06/2025</c:v>
                </c:pt>
                <c:pt idx="203">
                  <c:v>08/06/2025</c:v>
                </c:pt>
                <c:pt idx="204">
                  <c:v>07/06/2025</c:v>
                </c:pt>
                <c:pt idx="205">
                  <c:v>06/06/2025</c:v>
                </c:pt>
                <c:pt idx="206">
                  <c:v>05/06/2025</c:v>
                </c:pt>
                <c:pt idx="207">
                  <c:v>04/06/2025</c:v>
                </c:pt>
                <c:pt idx="208">
                  <c:v>03/06/2025</c:v>
                </c:pt>
                <c:pt idx="209">
                  <c:v>02/06/2025</c:v>
                </c:pt>
                <c:pt idx="210">
                  <c:v>01/06/2025</c:v>
                </c:pt>
                <c:pt idx="211">
                  <c:v>31/05/2025</c:v>
                </c:pt>
                <c:pt idx="212">
                  <c:v>30/05/2025</c:v>
                </c:pt>
                <c:pt idx="213">
                  <c:v>29/05/2025</c:v>
                </c:pt>
                <c:pt idx="214">
                  <c:v>28/05/2025</c:v>
                </c:pt>
                <c:pt idx="215">
                  <c:v>27/05/2025</c:v>
                </c:pt>
                <c:pt idx="216">
                  <c:v>26/05/2025</c:v>
                </c:pt>
                <c:pt idx="217">
                  <c:v>25/05/2025</c:v>
                </c:pt>
                <c:pt idx="218">
                  <c:v>24/05/2025</c:v>
                </c:pt>
                <c:pt idx="219">
                  <c:v>23/05/2025</c:v>
                </c:pt>
                <c:pt idx="220">
                  <c:v>22/05/2025</c:v>
                </c:pt>
                <c:pt idx="221">
                  <c:v>21/05/2025</c:v>
                </c:pt>
                <c:pt idx="222">
                  <c:v>20/05/2025</c:v>
                </c:pt>
                <c:pt idx="223">
                  <c:v>19/05/2025</c:v>
                </c:pt>
                <c:pt idx="224">
                  <c:v>18/05/2025</c:v>
                </c:pt>
                <c:pt idx="225">
                  <c:v>17/05/2025</c:v>
                </c:pt>
                <c:pt idx="226">
                  <c:v>16/05/2025</c:v>
                </c:pt>
                <c:pt idx="227">
                  <c:v>15/05/2025</c:v>
                </c:pt>
                <c:pt idx="228">
                  <c:v>14/05/2025</c:v>
                </c:pt>
                <c:pt idx="229">
                  <c:v>13/05/2025</c:v>
                </c:pt>
                <c:pt idx="230">
                  <c:v>12/05/2025</c:v>
                </c:pt>
                <c:pt idx="231">
                  <c:v>11/05/2025</c:v>
                </c:pt>
                <c:pt idx="232">
                  <c:v>10/05/2025</c:v>
                </c:pt>
                <c:pt idx="233">
                  <c:v>09/05/2025</c:v>
                </c:pt>
                <c:pt idx="234">
                  <c:v>08/05/2025</c:v>
                </c:pt>
                <c:pt idx="235">
                  <c:v>07/05/2025</c:v>
                </c:pt>
                <c:pt idx="236">
                  <c:v>06/05/2025</c:v>
                </c:pt>
                <c:pt idx="237">
                  <c:v>05/05/2025</c:v>
                </c:pt>
                <c:pt idx="238">
                  <c:v>04/05/2025</c:v>
                </c:pt>
                <c:pt idx="239">
                  <c:v>03/05/2025</c:v>
                </c:pt>
                <c:pt idx="240">
                  <c:v>02/05/2025</c:v>
                </c:pt>
                <c:pt idx="241">
                  <c:v>01/05/2025</c:v>
                </c:pt>
                <c:pt idx="242">
                  <c:v>30/04/2025</c:v>
                </c:pt>
                <c:pt idx="243">
                  <c:v>29/04/2025</c:v>
                </c:pt>
                <c:pt idx="244">
                  <c:v>28/04/2025</c:v>
                </c:pt>
                <c:pt idx="245">
                  <c:v>27/04/2025</c:v>
                </c:pt>
                <c:pt idx="246">
                  <c:v>26/04/2025</c:v>
                </c:pt>
                <c:pt idx="247">
                  <c:v>25/04/2025</c:v>
                </c:pt>
                <c:pt idx="248">
                  <c:v>24/04/2025</c:v>
                </c:pt>
                <c:pt idx="249">
                  <c:v>23/04/2025</c:v>
                </c:pt>
                <c:pt idx="250">
                  <c:v>22/04/2025</c:v>
                </c:pt>
                <c:pt idx="251">
                  <c:v>21/04/2025</c:v>
                </c:pt>
                <c:pt idx="252">
                  <c:v>20/04/2025</c:v>
                </c:pt>
                <c:pt idx="253">
                  <c:v>19/04/2025</c:v>
                </c:pt>
                <c:pt idx="254">
                  <c:v>18/04/2025</c:v>
                </c:pt>
                <c:pt idx="255">
                  <c:v>17/04/2025</c:v>
                </c:pt>
                <c:pt idx="256">
                  <c:v>16/04/2025</c:v>
                </c:pt>
                <c:pt idx="257">
                  <c:v>15/04/2025</c:v>
                </c:pt>
                <c:pt idx="258">
                  <c:v>14/04/2025</c:v>
                </c:pt>
                <c:pt idx="259">
                  <c:v>13/04/2025</c:v>
                </c:pt>
                <c:pt idx="260">
                  <c:v>12/04/2025</c:v>
                </c:pt>
                <c:pt idx="261">
                  <c:v>11/04/2025</c:v>
                </c:pt>
                <c:pt idx="262">
                  <c:v>10/04/2025</c:v>
                </c:pt>
                <c:pt idx="263">
                  <c:v>09/04/2025</c:v>
                </c:pt>
                <c:pt idx="264">
                  <c:v>08/04/2025</c:v>
                </c:pt>
                <c:pt idx="265">
                  <c:v>07/04/2025</c:v>
                </c:pt>
                <c:pt idx="266">
                  <c:v>06/04/2025</c:v>
                </c:pt>
                <c:pt idx="267">
                  <c:v>05/04/2025</c:v>
                </c:pt>
                <c:pt idx="268">
                  <c:v>04/04/2025</c:v>
                </c:pt>
                <c:pt idx="269">
                  <c:v>03/04/2025</c:v>
                </c:pt>
                <c:pt idx="270">
                  <c:v>02/04/2025</c:v>
                </c:pt>
                <c:pt idx="271">
                  <c:v>01/04/2025</c:v>
                </c:pt>
                <c:pt idx="272">
                  <c:v>31/03/2025</c:v>
                </c:pt>
                <c:pt idx="273">
                  <c:v>30/03/2025</c:v>
                </c:pt>
                <c:pt idx="274">
                  <c:v>29/03/2025</c:v>
                </c:pt>
                <c:pt idx="275">
                  <c:v>28/03/2025</c:v>
                </c:pt>
                <c:pt idx="276">
                  <c:v>27/03/2025</c:v>
                </c:pt>
                <c:pt idx="277">
                  <c:v>26/03/2025</c:v>
                </c:pt>
                <c:pt idx="278">
                  <c:v>25/03/2025</c:v>
                </c:pt>
                <c:pt idx="279">
                  <c:v>24/03/2025</c:v>
                </c:pt>
                <c:pt idx="280">
                  <c:v>23/03/2025</c:v>
                </c:pt>
                <c:pt idx="281">
                  <c:v>22/03/2025</c:v>
                </c:pt>
                <c:pt idx="282">
                  <c:v>21/03/2025</c:v>
                </c:pt>
                <c:pt idx="283">
                  <c:v>20/03/2025</c:v>
                </c:pt>
                <c:pt idx="284">
                  <c:v>19/03/2025</c:v>
                </c:pt>
                <c:pt idx="285">
                  <c:v>18/03/2025</c:v>
                </c:pt>
                <c:pt idx="286">
                  <c:v>17/03/2025</c:v>
                </c:pt>
                <c:pt idx="287">
                  <c:v>16/03/2025</c:v>
                </c:pt>
                <c:pt idx="288">
                  <c:v>15/03/2025</c:v>
                </c:pt>
                <c:pt idx="289">
                  <c:v>14/03/2025</c:v>
                </c:pt>
                <c:pt idx="290">
                  <c:v>13/03/2025</c:v>
                </c:pt>
                <c:pt idx="291">
                  <c:v>12/03/2025</c:v>
                </c:pt>
                <c:pt idx="292">
                  <c:v>11/03/2025</c:v>
                </c:pt>
                <c:pt idx="293">
                  <c:v>10/03/2025</c:v>
                </c:pt>
                <c:pt idx="294">
                  <c:v>09/03/2025</c:v>
                </c:pt>
                <c:pt idx="295">
                  <c:v>08/03/2025</c:v>
                </c:pt>
                <c:pt idx="296">
                  <c:v>07/03/2025</c:v>
                </c:pt>
                <c:pt idx="297">
                  <c:v>06/03/2025</c:v>
                </c:pt>
                <c:pt idx="298">
                  <c:v>05/03/2025</c:v>
                </c:pt>
                <c:pt idx="299">
                  <c:v>04/03/2025</c:v>
                </c:pt>
                <c:pt idx="300">
                  <c:v>03/03/2025</c:v>
                </c:pt>
                <c:pt idx="301">
                  <c:v>02/03/2025</c:v>
                </c:pt>
                <c:pt idx="302">
                  <c:v>01/03/2025</c:v>
                </c:pt>
                <c:pt idx="303">
                  <c:v>28/02/2025</c:v>
                </c:pt>
                <c:pt idx="304">
                  <c:v>27/02/2025</c:v>
                </c:pt>
                <c:pt idx="305">
                  <c:v>26/02/2025</c:v>
                </c:pt>
                <c:pt idx="306">
                  <c:v>25/02/2025</c:v>
                </c:pt>
                <c:pt idx="307">
                  <c:v>24/02/2025</c:v>
                </c:pt>
                <c:pt idx="308">
                  <c:v>22/02/2025</c:v>
                </c:pt>
                <c:pt idx="309">
                  <c:v>21/02/2025</c:v>
                </c:pt>
                <c:pt idx="310">
                  <c:v>20/02/2025</c:v>
                </c:pt>
                <c:pt idx="311">
                  <c:v>19/02/2025</c:v>
                </c:pt>
                <c:pt idx="312">
                  <c:v>18/02/2025</c:v>
                </c:pt>
                <c:pt idx="313">
                  <c:v>17/02/2025</c:v>
                </c:pt>
                <c:pt idx="314">
                  <c:v>16/02/2025</c:v>
                </c:pt>
                <c:pt idx="315">
                  <c:v>14/02/2025</c:v>
                </c:pt>
                <c:pt idx="316">
                  <c:v>13/02/2025</c:v>
                </c:pt>
                <c:pt idx="317">
                  <c:v>12/02/2025</c:v>
                </c:pt>
                <c:pt idx="318">
                  <c:v>11/02/2025</c:v>
                </c:pt>
                <c:pt idx="319">
                  <c:v>10/02/2025</c:v>
                </c:pt>
                <c:pt idx="320">
                  <c:v>09/02/2025</c:v>
                </c:pt>
                <c:pt idx="321">
                  <c:v>08/02/2025</c:v>
                </c:pt>
                <c:pt idx="322">
                  <c:v>07/02/2025</c:v>
                </c:pt>
                <c:pt idx="323">
                  <c:v>06/02/2025</c:v>
                </c:pt>
                <c:pt idx="324">
                  <c:v>05/02/2025</c:v>
                </c:pt>
                <c:pt idx="325">
                  <c:v>04/02/2025</c:v>
                </c:pt>
                <c:pt idx="326">
                  <c:v>03/02/2025</c:v>
                </c:pt>
                <c:pt idx="327">
                  <c:v>02/02/2025</c:v>
                </c:pt>
                <c:pt idx="328">
                  <c:v>31/01/2025</c:v>
                </c:pt>
                <c:pt idx="329">
                  <c:v>30/01/2025</c:v>
                </c:pt>
                <c:pt idx="330">
                  <c:v>29/01/2025</c:v>
                </c:pt>
                <c:pt idx="331">
                  <c:v>28/01/2025</c:v>
                </c:pt>
                <c:pt idx="332">
                  <c:v>27/01/2025</c:v>
                </c:pt>
                <c:pt idx="333">
                  <c:v>26/01/2025</c:v>
                </c:pt>
                <c:pt idx="334">
                  <c:v>25/01/2025</c:v>
                </c:pt>
                <c:pt idx="335">
                  <c:v>24/01/2025</c:v>
                </c:pt>
                <c:pt idx="336">
                  <c:v>23/01/2025</c:v>
                </c:pt>
                <c:pt idx="337">
                  <c:v>22/01/2025</c:v>
                </c:pt>
                <c:pt idx="338">
                  <c:v>21/01/2025</c:v>
                </c:pt>
                <c:pt idx="339">
                  <c:v>20/01/2025</c:v>
                </c:pt>
                <c:pt idx="340">
                  <c:v>19/01/2025</c:v>
                </c:pt>
                <c:pt idx="341">
                  <c:v>18/01/2025</c:v>
                </c:pt>
                <c:pt idx="342">
                  <c:v>17/01/2025</c:v>
                </c:pt>
                <c:pt idx="343">
                  <c:v>16/01/2025</c:v>
                </c:pt>
                <c:pt idx="344">
                  <c:v>15/01/2025</c:v>
                </c:pt>
                <c:pt idx="345">
                  <c:v>14/01/2025</c:v>
                </c:pt>
                <c:pt idx="346">
                  <c:v>13/01/2025</c:v>
                </c:pt>
                <c:pt idx="347">
                  <c:v>12/01/2025</c:v>
                </c:pt>
                <c:pt idx="348">
                  <c:v>11/01/2025</c:v>
                </c:pt>
                <c:pt idx="349">
                  <c:v>10/01/2025</c:v>
                </c:pt>
                <c:pt idx="350">
                  <c:v>09/01/2025</c:v>
                </c:pt>
                <c:pt idx="351">
                  <c:v>08/01/2025</c:v>
                </c:pt>
                <c:pt idx="352">
                  <c:v>07/01/2025</c:v>
                </c:pt>
                <c:pt idx="353">
                  <c:v>06/01/2025</c:v>
                </c:pt>
                <c:pt idx="354">
                  <c:v>05/01/2025</c:v>
                </c:pt>
                <c:pt idx="355">
                  <c:v>04/01/2025</c:v>
                </c:pt>
                <c:pt idx="356">
                  <c:v>03/01/2025</c:v>
                </c:pt>
                <c:pt idx="357">
                  <c:v>02/01/2025</c:v>
                </c:pt>
                <c:pt idx="358">
                  <c:v>01/01/2025</c:v>
                </c:pt>
                <c:pt idx="359">
                  <c:v>31/12/2024</c:v>
                </c:pt>
                <c:pt idx="360">
                  <c:v>30/12/2024</c:v>
                </c:pt>
              </c:strCache>
            </c:strRef>
          </c:cat>
          <c:val>
            <c:numRef>
              <c:f>'Present Values'!$E$8:$E$368</c:f>
              <c:numCache>
                <c:formatCode>_([$€-2]\ * #\ ##0_);_([$€-2]\ * \(#\ ##0\);_([$€-2]\ * "-"??_);_(@_)</c:formatCode>
                <c:ptCount val="361"/>
                <c:pt idx="1">
                  <c:v>0</c:v>
                </c:pt>
                <c:pt idx="2" formatCode="_([$$-409]* #\ ##0.00_);_([$$-409]* \(#\ ##0.00\);_([$$-409]* &quot;-&quot;??_);_(@_)">
                  <c:v>87544.3</c:v>
                </c:pt>
                <c:pt idx="3" formatCode="_([$$-409]* #\ ##0.00_);_([$$-409]* \(#\ ##0.00\);_([$$-409]* &quot;-&quot;??_);_(@_)">
                  <c:v>87599.74</c:v>
                </c:pt>
                <c:pt idx="4" formatCode="_([$$-409]* #\ ##0.00_);_([$$-409]* \(#\ ##0.00\);_([$$-409]* &quot;-&quot;??_);_(@_)">
                  <c:v>87429.34</c:v>
                </c:pt>
                <c:pt idx="5" formatCode="_([$$-409]* #\ ##0.00_);_([$$-409]* \(#\ ##0.00\);_([$$-409]* &quot;-&quot;??_);_(@_)">
                  <c:v>87851.04</c:v>
                </c:pt>
                <c:pt idx="6" formatCode="_([$$-409]* #\ ##0.00_);_([$$-409]* \(#\ ##0.00\);_([$$-409]* &quot;-&quot;??_);_(@_)">
                  <c:v>87646.080000000002</c:v>
                </c:pt>
                <c:pt idx="7" formatCode="_([$$-409]* #\ ##0.00_);_([$$-409]* \(#\ ##0.00\);_([$$-409]* &quot;-&quot;??_);_(@_)">
                  <c:v>87667.87</c:v>
                </c:pt>
                <c:pt idx="8" formatCode="_([$$-409]* #\ ##0.00_);_([$$-409]* \(#\ ##0.00\);_([$$-409]* &quot;-&quot;??_);_(@_)">
                  <c:v>88252.1</c:v>
                </c:pt>
                <c:pt idx="9" formatCode="_([$$-409]* #\ ##0.00_);_([$$-409]* \(#\ ##0.00\);_([$$-409]* &quot;-&quot;??_);_(@_)">
                  <c:v>88159.02</c:v>
                </c:pt>
                <c:pt idx="10" formatCode="_([$$-409]* #\ ##0.00_);_([$$-409]* \(#\ ##0.00\);_([$$-409]* &quot;-&quot;??_);_(@_)">
                  <c:v>88193.31</c:v>
                </c:pt>
                <c:pt idx="11" formatCode="_([$$-409]* #\ ##0.00_);_([$$-409]* \(#\ ##0.00\);_([$$-409]* &quot;-&quot;??_);_(@_)">
                  <c:v>87803.14</c:v>
                </c:pt>
                <c:pt idx="12" formatCode="_([$$-409]* #\ ##0.00_);_([$$-409]* \(#\ ##0.00\);_([$$-409]* &quot;-&quot;??_);_(@_)">
                  <c:v>85603.58</c:v>
                </c:pt>
                <c:pt idx="13" formatCode="_([$$-409]* #\ ##0.00_);_([$$-409]* \(#\ ##0.00\);_([$$-409]* &quot;-&quot;??_);_(@_)">
                  <c:v>85983.95</c:v>
                </c:pt>
                <c:pt idx="14" formatCode="_([$$-409]* #\ ##0.00_);_([$$-409]* \(#\ ##0.00\);_([$$-409]* &quot;-&quot;??_);_(@_)">
                  <c:v>87787.72</c:v>
                </c:pt>
                <c:pt idx="15" formatCode="_([$$-409]* #\ ##0.00_);_([$$-409]* \(#\ ##0.00\);_([$$-409]* &quot;-&quot;??_);_(@_)">
                  <c:v>86230.33</c:v>
                </c:pt>
                <c:pt idx="16" formatCode="_([$$-409]* #\ ##0.00_);_([$$-409]* \(#\ ##0.00\);_([$$-409]* &quot;-&quot;??_);_(@_)">
                  <c:v>88465.59</c:v>
                </c:pt>
                <c:pt idx="17" formatCode="_([$$-409]* #\ ##0.00_);_([$$-409]* \(#\ ##0.00\);_([$$-409]* &quot;-&quot;??_);_(@_)">
                  <c:v>90180.82</c:v>
                </c:pt>
                <c:pt idx="18" formatCode="_([$$-409]* #\ ##0.00_);_([$$-409]* \(#\ ##0.00\);_([$$-409]* &quot;-&quot;??_);_(@_)">
                  <c:v>90217.69</c:v>
                </c:pt>
                <c:pt idx="19" formatCode="_([$$-409]* #\ ##0.00_);_([$$-409]* \(#\ ##0.00\);_([$$-409]* &quot;-&quot;??_);_(@_)">
                  <c:v>92909.38</c:v>
                </c:pt>
                <c:pt idx="20" formatCode="_([$$-409]* #\ ##0.00_);_([$$-409]* \(#\ ##0.00\);_([$$-409]* &quot;-&quot;??_);_(@_)">
                  <c:v>92408.960000000006</c:v>
                </c:pt>
                <c:pt idx="21" formatCode="_([$$-409]* #\ ##0.00_);_([$$-409]* \(#\ ##0.00\);_([$$-409]* &quot;-&quot;??_);_(@_)">
                  <c:v>92687.58</c:v>
                </c:pt>
                <c:pt idx="22" formatCode="_([$$-409]* #\ ##0.00_);_([$$-409]* \(#\ ##0.00\);_([$$-409]* &quot;-&quot;??_);_(@_)">
                  <c:v>91350.84</c:v>
                </c:pt>
                <c:pt idx="23" formatCode="_([$$-409]* #\ ##0.00_);_([$$-409]* \(#\ ##0.00\);_([$$-409]* &quot;-&quot;??_);_(@_)">
                  <c:v>90225.75</c:v>
                </c:pt>
                <c:pt idx="24" formatCode="_([$$-409]* #\ ##0.00_);_([$$-409]* \(#\ ##0.00\);_([$$-409]* &quot;-&quot;??_);_(@_)">
                  <c:v>89443.89</c:v>
                </c:pt>
                <c:pt idx="25" formatCode="_([$$-409]* #\ ##0.00_);_([$$-409]* \(#\ ##0.00\);_([$$-409]* &quot;-&quot;??_);_(@_)">
                  <c:v>89176.8</c:v>
                </c:pt>
                <c:pt idx="26" formatCode="_([$$-409]* #\ ##0.00_);_([$$-409]* \(#\ ##0.00\);_([$$-409]* &quot;-&quot;??_);_(@_)">
                  <c:v>92170.26</c:v>
                </c:pt>
                <c:pt idx="27" formatCode="_([$$-409]* #\ ##0.00_);_([$$-409]* \(#\ ##0.00\);_([$$-409]* &quot;-&quot;??_);_(@_)">
                  <c:v>93738.69</c:v>
                </c:pt>
                <c:pt idx="28" formatCode="_([$$-409]* #\ ##0.00_);_([$$-409]* \(#\ ##0.00\);_([$$-409]* &quot;-&quot;??_);_(@_)">
                  <c:v>91621.92</c:v>
                </c:pt>
                <c:pt idx="29" formatCode="_([$$-409]* #\ ##0.00_);_([$$-409]* \(#\ ##0.00\);_([$$-409]* &quot;-&quot;??_);_(@_)">
                  <c:v>86461.39</c:v>
                </c:pt>
                <c:pt idx="30" formatCode="_([$$-409]* #\ ##0.00_);_([$$-409]* \(#\ ##0.00\);_([$$-409]* &quot;-&quot;??_);_(@_)">
                  <c:v>91179.77</c:v>
                </c:pt>
                <c:pt idx="31" formatCode="_([$$-409]* #\ ##0.00_);_([$$-409]* \(#\ ##0.00\);_([$$-409]* &quot;-&quot;??_);_(@_)">
                  <c:v>91041.7</c:v>
                </c:pt>
                <c:pt idx="32" formatCode="_([$$-409]* #\ ##0.00_);_([$$-409]* \(#\ ##0.00\);_([$$-409]* &quot;-&quot;??_);_(@_)">
                  <c:v>90929.05</c:v>
                </c:pt>
                <c:pt idx="33" formatCode="_([$$-409]* #\ ##0.00_);_([$$-409]* \(#\ ##0.00\);_([$$-409]* &quot;-&quot;??_);_(@_)">
                  <c:v>91402.64</c:v>
                </c:pt>
                <c:pt idx="34" formatCode="_([$$-409]* #\ ##0.00_);_([$$-409]* \(#\ ##0.00\);_([$$-409]* &quot;-&quot;??_);_(@_)">
                  <c:v>90189.85</c:v>
                </c:pt>
                <c:pt idx="35" formatCode="_([$$-409]* #\ ##0.00_);_([$$-409]* \(#\ ##0.00\);_([$$-409]* &quot;-&quot;??_);_(@_)">
                  <c:v>87028.44</c:v>
                </c:pt>
                <c:pt idx="36" formatCode="_([$$-409]* #\ ##0.00_);_([$$-409]* \(#\ ##0.00\);_([$$-409]* &quot;-&quot;??_);_(@_)">
                  <c:v>88797</c:v>
                </c:pt>
                <c:pt idx="37" formatCode="_([$$-409]* #\ ##0.00_);_([$$-409]* \(#\ ##0.00\);_([$$-409]* &quot;-&quot;??_);_(@_)">
                  <c:v>87997.47</c:v>
                </c:pt>
                <c:pt idx="38" formatCode="_([$$-409]* #\ ##0.00_);_([$$-409]* \(#\ ##0.00\);_([$$-409]* &quot;-&quot;??_);_(@_)">
                  <c:v>84383.56</c:v>
                </c:pt>
                <c:pt idx="39" formatCode="_([$$-409]* #\ ##0.00_);_([$$-409]* \(#\ ##0.00\);_([$$-409]* &quot;-&quot;??_);_(@_)">
                  <c:v>85165.21</c:v>
                </c:pt>
                <c:pt idx="40" formatCode="_([$$-409]* #\ ##0.00_);_([$$-409]* \(#\ ##0.00\);_([$$-409]* &quot;-&quot;??_);_(@_)">
                  <c:v>87220.49</c:v>
                </c:pt>
                <c:pt idx="41" formatCode="_([$$-409]* #\ ##0.00_);_([$$-409]* \(#\ ##0.00\);_([$$-409]* &quot;-&quot;??_);_(@_)">
                  <c:v>90535.1</c:v>
                </c:pt>
                <c:pt idx="42" formatCode="_([$$-409]* #\ ##0.00_);_([$$-409]* \(#\ ##0.00\);_([$$-409]* &quot;-&quot;??_);_(@_)">
                  <c:v>92461.78</c:v>
                </c:pt>
                <c:pt idx="43" formatCode="_([$$-409]* #\ ##0.00_);_([$$-409]* \(#\ ##0.00\);_([$$-409]* &quot;-&quot;??_);_(@_)">
                  <c:v>91806.41</c:v>
                </c:pt>
                <c:pt idx="44" formatCode="_([$$-409]* #\ ##0.00_);_([$$-409]* \(#\ ##0.00\);_([$$-409]* &quot;-&quot;??_);_(@_)">
                  <c:v>93440.63</c:v>
                </c:pt>
                <c:pt idx="45" formatCode="_([$$-409]* #\ ##0.00_);_([$$-409]* \(#\ ##0.00\);_([$$-409]* &quot;-&quot;??_);_(@_)">
                  <c:v>95198.58</c:v>
                </c:pt>
                <c:pt idx="46" formatCode="_([$$-409]* #\ ##0.00_);_([$$-409]* \(#\ ##0.00\);_([$$-409]* &quot;-&quot;??_);_(@_)">
                  <c:v>95009.94</c:v>
                </c:pt>
                <c:pt idx="47" formatCode="_([$$-409]* #\ ##0.00_);_([$$-409]* \(#\ ##0.00\);_([$$-409]* &quot;-&quot;??_);_(@_)">
                  <c:v>98803.33</c:v>
                </c:pt>
                <c:pt idx="48" formatCode="_([$$-409]* #\ ##0.00_);_([$$-409]* \(#\ ##0.00\);_([$$-409]* &quot;-&quot;??_);_(@_)">
                  <c:v>101875.61</c:v>
                </c:pt>
                <c:pt idx="49" formatCode="_([$$-409]* #\ ##0.00_);_([$$-409]* \(#\ ##0.00\);_([$$-409]* &quot;-&quot;??_);_(@_)">
                  <c:v>102650.01</c:v>
                </c:pt>
                <c:pt idx="50" formatCode="_([$$-409]* #\ ##0.00_);_([$$-409]* \(#\ ##0.00\);_([$$-409]* &quot;-&quot;??_);_(@_)">
                  <c:v>105611.22</c:v>
                </c:pt>
                <c:pt idx="51" formatCode="_([$$-409]* #\ ##0.00_);_([$$-409]* \(#\ ##0.00\);_([$$-409]* &quot;-&quot;??_);_(@_)">
                  <c:v>104507.69</c:v>
                </c:pt>
                <c:pt idx="52" formatCode="_([$$-409]* #\ ##0.00_);_([$$-409]* \(#\ ##0.00\);_([$$-409]* &quot;-&quot;??_);_(@_)">
                  <c:v>102310.84</c:v>
                </c:pt>
                <c:pt idx="53" formatCode="_([$$-409]* #\ ##0.00_);_([$$-409]* \(#\ ##0.00\);_([$$-409]* &quot;-&quot;??_);_(@_)">
                  <c:v>103827.55</c:v>
                </c:pt>
                <c:pt idx="54" formatCode="_([$$-409]* #\ ##0.00_);_([$$-409]* \(#\ ##0.00\);_([$$-409]* &quot;-&quot;??_);_(@_)">
                  <c:v>101087.01</c:v>
                </c:pt>
                <c:pt idx="55" formatCode="_([$$-409]* #\ ##0.00_);_([$$-409]* \(#\ ##0.00\);_([$$-409]* &quot;-&quot;??_);_(@_)">
                  <c:v>103667.21</c:v>
                </c:pt>
                <c:pt idx="56" formatCode="_([$$-409]* #\ ##0.00_);_([$$-409]* \(#\ ##0.00\);_([$$-409]* &quot;-&quot;??_);_(@_)">
                  <c:v>100303.08</c:v>
                </c:pt>
                <c:pt idx="57" formatCode="_([$$-409]* #\ ##0.00_);_([$$-409]* \(#\ ##0.00\);_([$$-409]* &quot;-&quot;??_);_(@_)">
                  <c:v>106865.88</c:v>
                </c:pt>
                <c:pt idx="58" formatCode="_([$$-409]* #\ ##0.00_);_([$$-409]* \(#\ ##0.00\);_([$$-409]* &quot;-&quot;??_);_(@_)">
                  <c:v>110026.94</c:v>
                </c:pt>
                <c:pt idx="59" formatCode="_([$$-409]* #\ ##0.00_);_([$$-409]* \(#\ ##0.00\);_([$$-409]* &quot;-&quot;??_);_(@_)">
                  <c:v>109445.66</c:v>
                </c:pt>
                <c:pt idx="60" formatCode="_([$$-409]* #\ ##0.00_);_([$$-409]* \(#\ ##0.00\);_([$$-409]* &quot;-&quot;??_);_(@_)">
                  <c:v>107529.8</c:v>
                </c:pt>
                <c:pt idx="61" formatCode="_([$$-409]* #\ ##0.00_);_([$$-409]* \(#\ ##0.00\);_([$$-409]* &quot;-&quot;??_);_(@_)">
                  <c:v>111476.22</c:v>
                </c:pt>
                <c:pt idx="62" formatCode="_([$$-409]* #\ ##0.00_);_([$$-409]* \(#\ ##0.00\);_([$$-409]* &quot;-&quot;??_);_(@_)">
                  <c:v>112842.23</c:v>
                </c:pt>
                <c:pt idx="63" formatCode="_([$$-409]* #\ ##0.00_);_([$$-409]* \(#\ ##0.00\);_([$$-409]* &quot;-&quot;??_);_(@_)">
                  <c:v>114521.38</c:v>
                </c:pt>
                <c:pt idx="64" formatCode="_([$$-409]* #\ ##0.00_);_([$$-409]* \(#\ ##0.00\);_([$$-409]* &quot;-&quot;??_);_(@_)">
                  <c:v>113390.24</c:v>
                </c:pt>
                <c:pt idx="65" formatCode="_([$$-409]* #\ ##0.00_);_([$$-409]* \(#\ ##0.00\);_([$$-409]* &quot;-&quot;??_);_(@_)">
                  <c:v>111451.59</c:v>
                </c:pt>
                <c:pt idx="66" formatCode="_([$$-409]* #\ ##0.00_);_([$$-409]* \(#\ ##0.00\);_([$$-409]* &quot;-&quot;??_);_(@_)">
                  <c:v>110881.57</c:v>
                </c:pt>
                <c:pt idx="67" formatCode="_([$$-409]* #\ ##0.00_);_([$$-409]* \(#\ ##0.00\);_([$$-409]* &quot;-&quot;??_);_(@_)">
                  <c:v>109598.04</c:v>
                </c:pt>
                <c:pt idx="68" formatCode="_([$$-409]* #\ ##0.00_);_([$$-409]* \(#\ ##0.00\);_([$$-409]* &quot;-&quot;??_);_(@_)">
                  <c:v>107681.82</c:v>
                </c:pt>
                <c:pt idx="69" formatCode="_([$$-409]* #\ ##0.00_);_([$$-409]* \(#\ ##0.00\);_([$$-409]* &quot;-&quot;??_);_(@_)">
                  <c:v>110922.81</c:v>
                </c:pt>
                <c:pt idx="70" formatCode="_([$$-409]* #\ ##0.00_);_([$$-409]* \(#\ ##0.00\);_([$$-409]* &quot;-&quot;??_);_(@_)">
                  <c:v>111087.67</c:v>
                </c:pt>
                <c:pt idx="71" formatCode="_([$$-409]* #\ ##0.00_);_([$$-409]* \(#\ ##0.00\);_([$$-409]* &quot;-&quot;??_);_(@_)">
                  <c:v>107116.35</c:v>
                </c:pt>
                <c:pt idx="72" formatCode="_([$$-409]* #\ ##0.00_);_([$$-409]* \(#\ ##0.00\);_([$$-409]* &quot;-&quot;??_);_(@_)">
                  <c:v>107085.82</c:v>
                </c:pt>
                <c:pt idx="73" formatCode="_([$$-409]* #\ ##0.00_);_([$$-409]* \(#\ ##0.00\);_([$$-409]* &quot;-&quot;??_);_(@_)">
                  <c:v>107854.61</c:v>
                </c:pt>
                <c:pt idx="74" formatCode="_([$$-409]* #\ ##0.00_);_([$$-409]* \(#\ ##0.00\);_([$$-409]* &quot;-&quot;??_);_(@_)">
                  <c:v>111200.86</c:v>
                </c:pt>
                <c:pt idx="75" formatCode="_([$$-409]* #\ ##0.00_);_([$$-409]* \(#\ ##0.00\);_([$$-409]* &quot;-&quot;??_);_(@_)">
                  <c:v>113062.66</c:v>
                </c:pt>
                <c:pt idx="76" formatCode="_([$$-409]* #\ ##0.00_);_([$$-409]* \(#\ ##0.00\);_([$$-409]* &quot;-&quot;??_);_(@_)">
                  <c:v>115800.46</c:v>
                </c:pt>
                <c:pt idx="77" formatCode="_([$$-409]* #\ ##0.00_);_([$$-409]* \(#\ ##0.00\);_([$$-409]* &quot;-&quot;??_);_(@_)">
                  <c:v>115059.85</c:v>
                </c:pt>
                <c:pt idx="78" formatCode="_([$$-409]* #\ ##0.00_);_([$$-409]* \(#\ ##0.00\);_([$$-409]* &quot;-&quot;??_);_(@_)">
                  <c:v>110438.92</c:v>
                </c:pt>
                <c:pt idx="79" formatCode="_([$$-409]* #\ ##0.00_);_([$$-409]* \(#\ ##0.00\);_([$$-409]* &quot;-&quot;??_);_(@_)">
                  <c:v>114390.64</c:v>
                </c:pt>
                <c:pt idx="80" formatCode="_([$$-409]* #\ ##0.00_);_([$$-409]* \(#\ ##0.00\);_([$$-409]* &quot;-&quot;??_);_(@_)">
                  <c:v>121174.96</c:v>
                </c:pt>
                <c:pt idx="81" formatCode="_([$$-409]* #\ ##0.00_);_([$$-409]* \(#\ ##0.00\);_([$$-409]* &quot;-&quot;??_);_(@_)">
                  <c:v>122936.09</c:v>
                </c:pt>
                <c:pt idx="82" formatCode="_([$$-409]* #\ ##0.00_);_([$$-409]* \(#\ ##0.00\);_([$$-409]* &quot;-&quot;??_);_(@_)">
                  <c:v>122018.87</c:v>
                </c:pt>
                <c:pt idx="83" formatCode="_([$$-409]* #\ ##0.00_);_([$$-409]* \(#\ ##0.00\);_([$$-409]* &quot;-&quot;??_);_(@_)">
                  <c:v>125251.28</c:v>
                </c:pt>
                <c:pt idx="84" formatCode="_([$$-409]* #\ ##0.00_);_([$$-409]* \(#\ ##0.00\);_([$$-409]* &quot;-&quot;??_);_(@_)">
                  <c:v>122776.8</c:v>
                </c:pt>
                <c:pt idx="85" formatCode="_([$$-409]* #\ ##0.00_);_([$$-409]* \(#\ ##0.00\);_([$$-409]* &quot;-&quot;??_);_(@_)">
                  <c:v>121974.55</c:v>
                </c:pt>
                <c:pt idx="86" formatCode="_([$$-409]* #\ ##0.00_);_([$$-409]* \(#\ ##0.00\);_([$$-409]* &quot;-&quot;??_);_(@_)">
                  <c:v>122543.84</c:v>
                </c:pt>
                <c:pt idx="87" formatCode="_([$$-409]* #\ ##0.00_);_([$$-409]* \(#\ ##0.00\);_([$$-409]* &quot;-&quot;??_);_(@_)">
                  <c:v>120720.06</c:v>
                </c:pt>
                <c:pt idx="88" formatCode="_([$$-409]* #\ ##0.00_);_([$$-409]* \(#\ ##0.00\);_([$$-409]* &quot;-&quot;??_);_(@_)">
                  <c:v>117587.7</c:v>
                </c:pt>
                <c:pt idx="89" formatCode="_([$$-409]* #\ ##0.00_);_([$$-409]* \(#\ ##0.00\);_([$$-409]* &quot;-&quot;??_);_(@_)">
                  <c:v>114638.39999999999</c:v>
                </c:pt>
                <c:pt idx="90" formatCode="_([$$-409]* #\ ##0.00_);_([$$-409]* \(#\ ##0.00\);_([$$-409]* &quot;-&quot;??_);_(@_)">
                  <c:v>114354.22</c:v>
                </c:pt>
                <c:pt idx="91" formatCode="_([$$-409]* #\ ##0.00_);_([$$-409]* \(#\ ##0.00\);_([$$-409]* &quot;-&quot;??_);_(@_)">
                  <c:v>110893.42</c:v>
                </c:pt>
                <c:pt idx="92" formatCode="_([$$-409]* #\ ##0.00_);_([$$-409]* \(#\ ##0.00\);_([$$-409]* &quot;-&quot;??_);_(@_)">
                  <c:v>109485.72</c:v>
                </c:pt>
                <c:pt idx="93" formatCode="_([$$-409]* #\ ##0.00_);_([$$-409]* \(#\ ##0.00\);_([$$-409]* &quot;-&quot;??_);_(@_)">
                  <c:v>109387.54</c:v>
                </c:pt>
                <c:pt idx="94" formatCode="_([$$-409]* #\ ##0.00_);_([$$-409]* \(#\ ##0.00\);_([$$-409]* &quot;-&quot;??_);_(@_)">
                  <c:v>109222.55</c:v>
                </c:pt>
                <c:pt idx="95" formatCode="_([$$-409]* #\ ##0.00_);_([$$-409]* \(#\ ##0.00\);_([$$-409]* &quot;-&quot;??_);_(@_)">
                  <c:v>113603.71</c:v>
                </c:pt>
                <c:pt idx="96" formatCode="_([$$-409]* #\ ##0.00_);_([$$-409]* \(#\ ##0.00\);_([$$-409]* &quot;-&quot;??_);_(@_)">
                  <c:v>112036.28</c:v>
                </c:pt>
                <c:pt idx="97" formatCode="_([$$-409]* #\ ##0.00_);_([$$-409]* \(#\ ##0.00\);_([$$-409]* &quot;-&quot;??_);_(@_)">
                  <c:v>112861.14</c:v>
                </c:pt>
                <c:pt idx="98" formatCode="_([$$-409]* #\ ##0.00_);_([$$-409]* \(#\ ##0.00\);_([$$-409]* &quot;-&quot;??_);_(@_)">
                  <c:v>115431.72</c:v>
                </c:pt>
                <c:pt idx="99" formatCode="_([$$-409]* #\ ##0.00_);_([$$-409]* \(#\ ##0.00\);_([$$-409]* &quot;-&quot;??_);_(@_)">
                  <c:v>115855.17</c:v>
                </c:pt>
                <c:pt idx="100" formatCode="_([$$-409]* #\ ##0.00_);_([$$-409]* \(#\ ##0.00\);_([$$-409]* &quot;-&quot;??_);_(@_)">
                  <c:v>115418.74</c:v>
                </c:pt>
                <c:pt idx="101" formatCode="_([$$-409]* #\ ##0.00_);_([$$-409]* \(#\ ##0.00\);_([$$-409]* &quot;-&quot;??_);_(@_)">
                  <c:v>117594.39</c:v>
                </c:pt>
                <c:pt idx="102" formatCode="_([$$-409]* #\ ##0.00_);_([$$-409]* \(#\ ##0.00\);_([$$-409]* &quot;-&quot;??_);_(@_)">
                  <c:v>115647.65</c:v>
                </c:pt>
                <c:pt idx="103" formatCode="_([$$-409]* #\ ##0.00_);_([$$-409]* \(#\ ##0.00\);_([$$-409]* &quot;-&quot;??_);_(@_)">
                  <c:v>116911.02</c:v>
                </c:pt>
                <c:pt idx="104" formatCode="_([$$-409]* #\ ##0.00_);_([$$-409]* \(#\ ##0.00\);_([$$-409]* &quot;-&quot;??_);_(@_)">
                  <c:v>115412.89</c:v>
                </c:pt>
                <c:pt idx="105" formatCode="_([$$-409]* #\ ##0.00_);_([$$-409]* \(#\ ##0.00\);_([$$-409]* &quot;-&quot;??_);_(@_)">
                  <c:v>115854.63</c:v>
                </c:pt>
                <c:pt idx="106" formatCode="_([$$-409]* #\ ##0.00_);_([$$-409]* \(#\ ##0.00\);_([$$-409]* &quot;-&quot;??_);_(@_)">
                  <c:v>115950.16</c:v>
                </c:pt>
                <c:pt idx="107" formatCode="_([$$-409]* #\ ##0.00_);_([$$-409]* \(#\ ##0.00\);_([$$-409]* &quot;-&quot;??_);_(@_)">
                  <c:v>116234.83</c:v>
                </c:pt>
                <c:pt idx="108" formatCode="_([$$-409]* #\ ##0.00_);_([$$-409]* \(#\ ##0.00\);_([$$-409]* &quot;-&quot;??_);_(@_)">
                  <c:v>114425.38</c:v>
                </c:pt>
                <c:pt idx="109" formatCode="_([$$-409]* #\ ##0.00_);_([$$-409]* \(#\ ##0.00\);_([$$-409]* &quot;-&quot;??_);_(@_)">
                  <c:v>113624.09</c:v>
                </c:pt>
                <c:pt idx="110" formatCode="_([$$-409]* #\ ##0.00_);_([$$-409]* \(#\ ##0.00\);_([$$-409]* &quot;-&quot;??_);_(@_)">
                  <c:v>111499.4</c:v>
                </c:pt>
                <c:pt idx="111" formatCode="_([$$-409]* #\ ##0.00_);_([$$-409]* \(#\ ##0.00\);_([$$-409]* &quot;-&quot;??_);_(@_)">
                  <c:v>111986.95</c:v>
                </c:pt>
                <c:pt idx="112" formatCode="_([$$-409]* #\ ##0.00_);_([$$-409]* \(#\ ##0.00\);_([$$-409]* &quot;-&quot;??_);_(@_)">
                  <c:v>111351.65</c:v>
                </c:pt>
                <c:pt idx="113" formatCode="_([$$-409]* #\ ##0.00_);_([$$-409]* \(#\ ##0.00\);_([$$-409]* &quot;-&quot;??_);_(@_)">
                  <c:v>110174.76</c:v>
                </c:pt>
                <c:pt idx="114" formatCode="_([$$-409]* #\ ##0.00_);_([$$-409]* \(#\ ##0.00\);_([$$-409]* &quot;-&quot;??_);_(@_)">
                  <c:v>111659</c:v>
                </c:pt>
                <c:pt idx="115" formatCode="_([$$-409]* #\ ##0.00_);_([$$-409]* \(#\ ##0.00\);_([$$-409]* &quot;-&quot;??_);_(@_)">
                  <c:v>110413.59</c:v>
                </c:pt>
                <c:pt idx="116" formatCode="_([$$-409]* #\ ##0.00_);_([$$-409]* \(#\ ##0.00\);_([$$-409]* &quot;-&quot;??_);_(@_)">
                  <c:v>112267.11</c:v>
                </c:pt>
                <c:pt idx="117" formatCode="_([$$-409]* #\ ##0.00_);_([$$-409]* \(#\ ##0.00\);_([$$-409]* &quot;-&quot;??_);_(@_)">
                  <c:v>111417.87</c:v>
                </c:pt>
                <c:pt idx="118" formatCode="_([$$-409]* #\ ##0.00_);_([$$-409]* \(#\ ##0.00\);_([$$-409]* &quot;-&quot;??_);_(@_)">
                  <c:v>108865.31</c:v>
                </c:pt>
                <c:pt idx="119" formatCode="_([$$-409]* #\ ##0.00_);_([$$-409]* \(#\ ##0.00\);_([$$-409]* &quot;-&quot;??_);_(@_)">
                  <c:v>109116.21</c:v>
                </c:pt>
                <c:pt idx="120" formatCode="_([$$-409]* #\ ##0.00_);_([$$-409]* \(#\ ##0.00\);_([$$-409]* &quot;-&quot;??_);_(@_)">
                  <c:v>108700.02</c:v>
                </c:pt>
                <c:pt idx="121" formatCode="_([$$-409]* #\ ##0.00_);_([$$-409]* \(#\ ##0.00\);_([$$-409]* &quot;-&quot;??_);_(@_)">
                  <c:v>107814.56</c:v>
                </c:pt>
                <c:pt idx="122" formatCode="_([$$-409]* #\ ##0.00_);_([$$-409]* \(#\ ##0.00\);_([$$-409]* &quot;-&quot;??_);_(@_)">
                  <c:v>111968.63</c:v>
                </c:pt>
                <c:pt idx="123" formatCode="_([$$-409]* #\ ##0.00_);_([$$-409]* \(#\ ##0.00\);_([$$-409]* &quot;-&quot;??_);_(@_)">
                  <c:v>112434.47</c:v>
                </c:pt>
                <c:pt idx="124" formatCode="_([$$-409]* #\ ##0.00_);_([$$-409]* \(#\ ##0.00\);_([$$-409]* &quot;-&quot;??_);_(@_)">
                  <c:v>111386.67</c:v>
                </c:pt>
                <c:pt idx="125" formatCode="_([$$-409]* #\ ##0.00_);_([$$-409]* \(#\ ##0.00\);_([$$-409]* &quot;-&quot;??_);_(@_)">
                  <c:v>109666.81</c:v>
                </c:pt>
                <c:pt idx="126" formatCode="_([$$-409]* #\ ##0.00_);_([$$-409]* \(#\ ##0.00\);_([$$-409]* &quot;-&quot;??_);_(@_)">
                  <c:v>112754.61</c:v>
                </c:pt>
                <c:pt idx="127" formatCode="_([$$-409]* #\ ##0.00_);_([$$-409]* \(#\ ##0.00\);_([$$-409]* &quot;-&quot;??_);_(@_)">
                  <c:v>115307.14</c:v>
                </c:pt>
                <c:pt idx="128" formatCode="_([$$-409]* #\ ##0.00_);_([$$-409]* \(#\ ##0.00\);_([$$-409]* &quot;-&quot;??_);_(@_)">
                  <c:v>117004.03</c:v>
                </c:pt>
                <c:pt idx="129" formatCode="_([$$-409]* #\ ##0.00_);_([$$-409]* \(#\ ##0.00\);_([$$-409]* &quot;-&quot;??_);_(@_)">
                  <c:v>112429.1</c:v>
                </c:pt>
                <c:pt idx="130" formatCode="_([$$-409]* #\ ##0.00_);_([$$-409]* \(#\ ##0.00\);_([$$-409]* &quot;-&quot;??_);_(@_)">
                  <c:v>114411.42</c:v>
                </c:pt>
                <c:pt idx="131" formatCode="_([$$-409]* #\ ##0.00_);_([$$-409]* \(#\ ##0.00\);_([$$-409]* &quot;-&quot;??_);_(@_)">
                  <c:v>113575.59</c:v>
                </c:pt>
                <c:pt idx="132" formatCode="_([$$-409]* #\ ##0.00_);_([$$-409]* \(#\ ##0.00\);_([$$-409]* &quot;-&quot;??_);_(@_)">
                  <c:v>116470.16</c:v>
                </c:pt>
                <c:pt idx="133" formatCode="_([$$-409]* #\ ##0.00_);_([$$-409]* \(#\ ##0.00\);_([$$-409]* &quot;-&quot;??_);_(@_)">
                  <c:v>117716.16</c:v>
                </c:pt>
                <c:pt idx="134" formatCode="_([$$-409]* #\ ##0.00_);_([$$-409]* \(#\ ##0.00\);_([$$-409]* &quot;-&quot;??_);_(@_)">
                  <c:v>117745.41</c:v>
                </c:pt>
                <c:pt idx="135" formatCode="_([$$-409]* #\ ##0.00_);_([$$-409]* \(#\ ##0.00\);_([$$-409]* &quot;-&quot;??_);_(@_)">
                  <c:v>117384.44</c:v>
                </c:pt>
                <c:pt idx="136" formatCode="_([$$-409]* #\ ##0.00_);_([$$-409]* \(#\ ##0.00\);_([$$-409]* &quot;-&quot;??_);_(@_)">
                  <c:v>117947.72</c:v>
                </c:pt>
                <c:pt idx="137" formatCode="_([$$-409]* #\ ##0.00_);_([$$-409]* \(#\ ##0.00\);_([$$-409]* &quot;-&quot;??_);_(@_)">
                  <c:v>122934.67</c:v>
                </c:pt>
                <c:pt idx="138" formatCode="_([$$-409]* #\ ##0.00_);_([$$-409]* \(#\ ##0.00\);_([$$-409]* &quot;-&quot;??_);_(@_)">
                  <c:v>120181.98</c:v>
                </c:pt>
                <c:pt idx="139" formatCode="_([$$-409]* #\ ##0.00_);_([$$-409]* \(#\ ##0.00\);_([$$-409]* &quot;-&quot;??_);_(@_)">
                  <c:v>118872.07</c:v>
                </c:pt>
                <c:pt idx="140" formatCode="_([$$-409]* #\ ##0.00_);_([$$-409]* \(#\ ##0.00\);_([$$-409]* &quot;-&quot;??_);_(@_)">
                  <c:v>118382.63</c:v>
                </c:pt>
                <c:pt idx="141" formatCode="_([$$-409]* #\ ##0.00_);_([$$-409]* \(#\ ##0.00\);_([$$-409]* &quot;-&quot;??_);_(@_)">
                  <c:v>116804.85</c:v>
                </c:pt>
                <c:pt idx="142" formatCode="_([$$-409]* #\ ##0.00_);_([$$-409]* \(#\ ##0.00\);_([$$-409]* &quot;-&quot;??_);_(@_)">
                  <c:v>116896.3</c:v>
                </c:pt>
                <c:pt idx="143" formatCode="_([$$-409]* #\ ##0.00_);_([$$-409]* \(#\ ##0.00\);_([$$-409]* &quot;-&quot;??_);_(@_)">
                  <c:v>117247.76</c:v>
                </c:pt>
                <c:pt idx="144" formatCode="_([$$-409]* #\ ##0.00_);_([$$-409]* \(#\ ##0.00\);_([$$-409]* &quot;-&quot;??_);_(@_)">
                  <c:v>115123.57</c:v>
                </c:pt>
                <c:pt idx="145" formatCode="_([$$-409]* #\ ##0.00_);_([$$-409]* \(#\ ##0.00\);_([$$-409]* &quot;-&quot;??_);_(@_)">
                  <c:v>113659.97</c:v>
                </c:pt>
                <c:pt idx="146" formatCode="_([$$-409]* #\ ##0.00_);_([$$-409]* \(#\ ##0.00\);_([$$-409]* &quot;-&quot;??_);_(@_)">
                  <c:v>114862.8</c:v>
                </c:pt>
                <c:pt idx="147" formatCode="_([$$-409]* #\ ##0.00_);_([$$-409]* \(#\ ##0.00\);_([$$-409]* &quot;-&quot;??_);_(@_)">
                  <c:v>114457.95</c:v>
                </c:pt>
                <c:pt idx="148" formatCode="_([$$-409]* #\ ##0.00_);_([$$-409]* \(#\ ##0.00\);_([$$-409]* &quot;-&quot;??_);_(@_)">
                  <c:v>112782.45</c:v>
                </c:pt>
                <c:pt idx="149" formatCode="_([$$-409]* #\ ##0.00_);_([$$-409]* \(#\ ##0.00\);_([$$-409]* &quot;-&quot;??_);_(@_)">
                  <c:v>113912.54</c:v>
                </c:pt>
                <c:pt idx="150" formatCode="_([$$-409]* #\ ##0.00_);_([$$-409]* \(#\ ##0.00\);_([$$-409]* &quot;-&quot;??_);_(@_)">
                  <c:v>116522.83</c:v>
                </c:pt>
                <c:pt idx="151" formatCode="_([$$-409]* #\ ##0.00_);_([$$-409]* \(#\ ##0.00\);_([$$-409]* &quot;-&quot;??_);_(@_)">
                  <c:v>117161.65</c:v>
                </c:pt>
                <c:pt idx="152" formatCode="_([$$-409]* #\ ##0.00_);_([$$-409]* \(#\ ##0.00\);_([$$-409]* &quot;-&quot;??_);_(@_)">
                  <c:v>117446.51</c:v>
                </c:pt>
                <c:pt idx="153" formatCode="_([$$-409]* #\ ##0.00_);_([$$-409]* \(#\ ##0.00\);_([$$-409]* &quot;-&quot;??_);_(@_)">
                  <c:v>118069.01</c:v>
                </c:pt>
                <c:pt idx="154" formatCode="_([$$-409]* #\ ##0.00_);_([$$-409]* \(#\ ##0.00\);_([$$-409]* &quot;-&quot;??_);_(@_)">
                  <c:v>118821.31</c:v>
                </c:pt>
                <c:pt idx="155" formatCode="_([$$-409]* #\ ##0.00_);_([$$-409]* \(#\ ##0.00\);_([$$-409]* &quot;-&quot;??_);_(@_)">
                  <c:v>118033.16</c:v>
                </c:pt>
                <c:pt idx="156" formatCode="_([$$-409]* #\ ##0.00_);_([$$-409]* \(#\ ##0.00\);_([$$-409]* &quot;-&quot;??_);_(@_)">
                  <c:v>117130.84</c:v>
                </c:pt>
                <c:pt idx="157" formatCode="_([$$-409]* #\ ##0.00_);_([$$-409]* \(#\ ##0.00\);_([$$-409]* &quot;-&quot;??_);_(@_)">
                  <c:v>118778.45</c:v>
                </c:pt>
                <c:pt idx="158" formatCode="_([$$-409]* #\ ##0.00_);_([$$-409]* \(#\ ##0.00\);_([$$-409]* &quot;-&quot;??_);_(@_)">
                  <c:v>117999.63</c:v>
                </c:pt>
                <c:pt idx="159" formatCode="_([$$-409]* #\ ##0.00_);_([$$-409]* \(#\ ##0.00\);_([$$-409]* &quot;-&quot;??_);_(@_)">
                  <c:v>119780.85</c:v>
                </c:pt>
                <c:pt idx="160" formatCode="_([$$-409]* #\ ##0.00_);_([$$-409]* \(#\ ##0.00\);_([$$-409]* &quot;-&quot;??_);_(@_)">
                  <c:v>117003.73</c:v>
                </c:pt>
                <c:pt idx="161" formatCode="_([$$-409]* #\ ##0.00_);_([$$-409]* \(#\ ##0.00\);_([$$-409]* &quot;-&quot;??_);_(@_)">
                  <c:v>118135.65</c:v>
                </c:pt>
                <c:pt idx="162" formatCode="_([$$-409]* #\ ##0.00_);_([$$-409]* \(#\ ##0.00\);_([$$-409]* &quot;-&quot;??_);_(@_)">
                  <c:v>117802.16</c:v>
                </c:pt>
                <c:pt idx="163" formatCode="_([$$-409]* #\ ##0.00_);_([$$-409]* \(#\ ##0.00\);_([$$-409]* &quot;-&quot;??_);_(@_)">
                  <c:v>117493.28</c:v>
                </c:pt>
                <c:pt idx="164" formatCode="_([$$-409]* #\ ##0.00_);_([$$-409]* \(#\ ##0.00\);_([$$-409]* &quot;-&quot;??_);_(@_)">
                  <c:v>119483.37</c:v>
                </c:pt>
                <c:pt idx="165" formatCode="_([$$-409]* #\ ##0.00_);_([$$-409]* \(#\ ##0.00\);_([$$-409]* &quot;-&quot;??_);_(@_)">
                  <c:v>119940.88</c:v>
                </c:pt>
                <c:pt idx="166" formatCode="_([$$-409]* #\ ##0.00_);_([$$-409]* \(#\ ##0.00\);_([$$-409]* &quot;-&quot;??_);_(@_)">
                  <c:v>116479.19</c:v>
                </c:pt>
                <c:pt idx="167" formatCode="_([$$-409]* #\ ##0.00_);_([$$-409]* \(#\ ##0.00\);_([$$-409]* &quot;-&quot;??_);_(@_)">
                  <c:v>120222.27</c:v>
                </c:pt>
                <c:pt idx="168" formatCode="_([$$-409]* #\ ##0.00_);_([$$-409]* \(#\ ##0.00\);_([$$-409]* &quot;-&quot;??_);_(@_)">
                  <c:v>119127.63</c:v>
                </c:pt>
                <c:pt idx="169" formatCode="_([$$-409]* #\ ##0.00_);_([$$-409]* \(#\ ##0.00\);_([$$-409]* &quot;-&quot;??_);_(@_)">
                  <c:v>117128.74</c:v>
                </c:pt>
                <c:pt idx="170" formatCode="_([$$-409]* #\ ##0.00_);_([$$-409]* \(#\ ##0.00\);_([$$-409]* &quot;-&quot;??_);_(@_)">
                  <c:v>117728.9</c:v>
                </c:pt>
                <c:pt idx="171" formatCode="_([$$-409]* #\ ##0.00_);_([$$-409]* \(#\ ##0.00\);_([$$-409]* &quot;-&quot;??_);_(@_)">
                  <c:v>113585.9</c:v>
                </c:pt>
                <c:pt idx="172" formatCode="_([$$-409]* #\ ##0.00_);_([$$-409]* \(#\ ##0.00\);_([$$-409]* &quot;-&quot;??_);_(@_)">
                  <c:v>110777.61</c:v>
                </c:pt>
                <c:pt idx="173" formatCode="_([$$-409]* #\ ##0.00_);_([$$-409]* \(#\ ##0.00\);_([$$-409]* &quot;-&quot;??_);_(@_)">
                  <c:v>108716.34</c:v>
                </c:pt>
                <c:pt idx="174" formatCode="_([$$-409]* #\ ##0.00_);_([$$-409]* \(#\ ##0.00\);_([$$-409]* &quot;-&quot;??_);_(@_)">
                  <c:v>107921.74</c:v>
                </c:pt>
                <c:pt idx="175" formatCode="_([$$-409]* #\ ##0.00_);_([$$-409]* \(#\ ##0.00\);_([$$-409]* &quot;-&quot;??_);_(@_)">
                  <c:v>108753.94</c:v>
                </c:pt>
                <c:pt idx="176" formatCode="_([$$-409]* #\ ##0.00_);_([$$-409]* \(#\ ##0.00\);_([$$-409]* &quot;-&quot;??_);_(@_)">
                  <c:v>108152.36</c:v>
                </c:pt>
                <c:pt idx="177" formatCode="_([$$-409]* #\ ##0.00_);_([$$-409]* \(#\ ##0.00\);_([$$-409]* &quot;-&quot;??_);_(@_)">
                  <c:v>107778.97</c:v>
                </c:pt>
                <c:pt idx="178" formatCode="_([$$-409]* #\ ##0.00_);_([$$-409]* \(#\ ##0.00\);_([$$-409]* &quot;-&quot;??_);_(@_)">
                  <c:v>109992.92</c:v>
                </c:pt>
                <c:pt idx="179" formatCode="_([$$-409]* #\ ##0.00_);_([$$-409]* \(#\ ##0.00\);_([$$-409]* &quot;-&quot;??_);_(@_)">
                  <c:v>109231.15</c:v>
                </c:pt>
                <c:pt idx="180" formatCode="_([$$-409]* #\ ##0.00_);_([$$-409]* \(#\ ##0.00\);_([$$-409]* &quot;-&quot;??_);_(@_)">
                  <c:v>105967.11</c:v>
                </c:pt>
                <c:pt idx="181" formatCode="_([$$-409]* #\ ##0.00_);_([$$-409]* \(#\ ##0.00\);_([$$-409]* &quot;-&quot;??_);_(@_)">
                  <c:v>107620.53</c:v>
                </c:pt>
                <c:pt idx="182" formatCode="_([$$-409]* #\ ##0.00_);_([$$-409]* \(#\ ##0.00\);_([$$-409]* &quot;-&quot;??_);_(@_)">
                  <c:v>107423.8</c:v>
                </c:pt>
                <c:pt idx="183" formatCode="_([$$-409]* #\ ##0.00_);_([$$-409]* \(#\ ##0.00\);_([$$-409]* &quot;-&quot;??_);_(@_)">
                  <c:v>107222.54</c:v>
                </c:pt>
                <c:pt idx="184" formatCode="_([$$-409]* #\ ##0.00_);_([$$-409]* \(#\ ##0.00\);_([$$-409]* &quot;-&quot;??_);_(@_)">
                  <c:v>107141.4</c:v>
                </c:pt>
                <c:pt idx="185" formatCode="_([$$-409]* #\ ##0.00_);_([$$-409]* \(#\ ##0.00\);_([$$-409]* &quot;-&quot;??_);_(@_)">
                  <c:v>107809.32</c:v>
                </c:pt>
                <c:pt idx="186" formatCode="_([$$-409]* #\ ##0.00_);_([$$-409]* \(#\ ##0.00\);_([$$-409]* &quot;-&quot;??_);_(@_)">
                  <c:v>107849.4</c:v>
                </c:pt>
                <c:pt idx="187" formatCode="_([$$-409]* #\ ##0.00_);_([$$-409]* \(#\ ##0.00\);_([$$-409]* &quot;-&quot;??_);_(@_)">
                  <c:v>106150.33</c:v>
                </c:pt>
                <c:pt idx="188" formatCode="_([$$-409]* #\ ##0.00_);_([$$-409]* \(#\ ##0.00\);_([$$-409]* &quot;-&quot;??_);_(@_)">
                  <c:v>103801.08</c:v>
                </c:pt>
                <c:pt idx="189" formatCode="_([$$-409]* #\ ##0.00_);_([$$-409]* \(#\ ##0.00\);_([$$-409]* &quot;-&quot;??_);_(@_)">
                  <c:v>99567.51</c:v>
                </c:pt>
                <c:pt idx="190" formatCode="_([$$-409]* #\ ##0.00_);_([$$-409]* \(#\ ##0.00\);_([$$-409]* &quot;-&quot;??_);_(@_)">
                  <c:v>103512.58</c:v>
                </c:pt>
                <c:pt idx="191" formatCode="_([$$-409]* #\ ##0.00_);_([$$-409]* \(#\ ##0.00\);_([$$-409]* &quot;-&quot;??_);_(@_)">
                  <c:v>103719.88</c:v>
                </c:pt>
                <c:pt idx="192" formatCode="_([$$-409]* #\ ##0.00_);_([$$-409]* \(#\ ##0.00\);_([$$-409]* &quot;-&quot;??_);_(@_)">
                  <c:v>104302.39999999999</c:v>
                </c:pt>
                <c:pt idx="193" formatCode="_([$$-409]* #\ ##0.00_);_([$$-409]* \(#\ ##0.00\);_([$$-409]* &quot;-&quot;??_);_(@_)">
                  <c:v>104856.02</c:v>
                </c:pt>
                <c:pt idx="194" formatCode="_([$$-409]* #\ ##0.00_);_([$$-409]* \(#\ ##0.00\);_([$$-409]* &quot;-&quot;??_);_(@_)">
                  <c:v>104422.06</c:v>
                </c:pt>
                <c:pt idx="195" formatCode="_([$$-409]* #\ ##0.00_);_([$$-409]* \(#\ ##0.00\);_([$$-409]* &quot;-&quot;??_);_(@_)">
                  <c:v>108839.31</c:v>
                </c:pt>
                <c:pt idx="196" formatCode="_([$$-409]* #\ ##0.00_);_([$$-409]* \(#\ ##0.00\);_([$$-409]* &quot;-&quot;??_);_(@_)">
                  <c:v>104783.29</c:v>
                </c:pt>
                <c:pt idx="197" formatCode="_([$$-409]* #\ ##0.00_);_([$$-409]* \(#\ ##0.00\);_([$$-409]* &quot;-&quot;??_);_(@_)">
                  <c:v>104925.74</c:v>
                </c:pt>
                <c:pt idx="198" formatCode="_([$$-409]* #\ ##0.00_);_([$$-409]* \(#\ ##0.00\);_([$$-409]* &quot;-&quot;??_);_(@_)">
                  <c:v>105469.72</c:v>
                </c:pt>
                <c:pt idx="199" formatCode="_([$$-409]* #\ ##0.00_);_([$$-409]* \(#\ ##0.00\);_([$$-409]* &quot;-&quot;??_);_(@_)">
                  <c:v>106013.27</c:v>
                </c:pt>
                <c:pt idx="200" formatCode="_([$$-409]* #\ ##0.00_);_([$$-409]* \(#\ ##0.00\);_([$$-409]* &quot;-&quot;??_);_(@_)">
                  <c:v>108897.47</c:v>
                </c:pt>
                <c:pt idx="201" formatCode="_([$$-409]* #\ ##0.00_);_([$$-409]* \(#\ ##0.00\);_([$$-409]* &quot;-&quot;??_);_(@_)">
                  <c:v>109963.45</c:v>
                </c:pt>
                <c:pt idx="202" formatCode="_([$$-409]* #\ ##0.00_);_([$$-409]* \(#\ ##0.00\);_([$$-409]* &quot;-&quot;??_);_(@_)">
                  <c:v>108773.61</c:v>
                </c:pt>
                <c:pt idx="203" formatCode="_([$$-409]* #\ ##0.00_);_([$$-409]* \(#\ ##0.00\);_([$$-409]* &quot;-&quot;??_);_(@_)">
                  <c:v>106209.81</c:v>
                </c:pt>
                <c:pt idx="204" formatCode="_([$$-409]* #\ ##0.00_);_([$$-409]* \(#\ ##0.00\);_([$$-409]* &quot;-&quot;??_);_(@_)">
                  <c:v>105907.3</c:v>
                </c:pt>
                <c:pt idx="205" formatCode="_([$$-409]* #\ ##0.00_);_([$$-409]* \(#\ ##0.00\);_([$$-409]* &quot;-&quot;??_);_(@_)">
                  <c:v>104572.85</c:v>
                </c:pt>
                <c:pt idx="206" formatCode="_([$$-409]* #\ ##0.00_);_([$$-409]* \(#\ ##0.00\);_([$$-409]* &quot;-&quot;??_);_(@_)">
                  <c:v>100512.24</c:v>
                </c:pt>
                <c:pt idx="207" formatCode="_([$$-409]* #\ ##0.00_);_([$$-409]* \(#\ ##0.00\);_([$$-409]* &quot;-&quot;??_);_(@_)">
                  <c:v>104644.64</c:v>
                </c:pt>
                <c:pt idx="208" formatCode="_([$$-409]* #\ ##0.00_);_([$$-409]* \(#\ ##0.00\);_([$$-409]* &quot;-&quot;??_);_(@_)">
                  <c:v>105805.14</c:v>
                </c:pt>
                <c:pt idx="209" formatCode="_([$$-409]* #\ ##0.00_);_([$$-409]* \(#\ ##0.00\);_([$$-409]* &quot;-&quot;??_);_(@_)">
                  <c:v>104924.14</c:v>
                </c:pt>
                <c:pt idx="210" formatCode="_([$$-409]* #\ ##0.00_);_([$$-409]* \(#\ ##0.00\);_([$$-409]* &quot;-&quot;??_);_(@_)">
                  <c:v>105009.13</c:v>
                </c:pt>
                <c:pt idx="211" formatCode="_([$$-409]* #\ ##0.00_);_([$$-409]* \(#\ ##0.00\);_([$$-409]* &quot;-&quot;??_);_(@_)">
                  <c:v>104828.91</c:v>
                </c:pt>
                <c:pt idx="212" formatCode="_([$$-409]* #\ ##0.00_);_([$$-409]* \(#\ ##0.00\);_([$$-409]* &quot;-&quot;??_);_(@_)">
                  <c:v>104563.77</c:v>
                </c:pt>
                <c:pt idx="213" formatCode="_([$$-409]* #\ ##0.00_);_([$$-409]* \(#\ ##0.00\);_([$$-409]* &quot;-&quot;??_);_(@_)">
                  <c:v>106173.29</c:v>
                </c:pt>
                <c:pt idx="214" formatCode="_([$$-409]* #\ ##0.00_);_([$$-409]* \(#\ ##0.00\);_([$$-409]* &quot;-&quot;??_);_(@_)">
                  <c:v>107328.35</c:v>
                </c:pt>
                <c:pt idx="215" formatCode="_([$$-409]* #\ ##0.00_);_([$$-409]* \(#\ ##0.00\);_([$$-409]* &quot;-&quot;??_);_(@_)">
                  <c:v>109622.5</c:v>
                </c:pt>
                <c:pt idx="216" formatCode="_([$$-409]* #\ ##0.00_);_([$$-409]* \(#\ ##0.00\);_([$$-409]* &quot;-&quot;??_);_(@_)">
                  <c:v>109596.9</c:v>
                </c:pt>
                <c:pt idx="217" formatCode="_([$$-409]* #\ ##0.00_);_([$$-409]* \(#\ ##0.00\);_([$$-409]* &quot;-&quot;??_);_(@_)">
                  <c:v>107707.13</c:v>
                </c:pt>
                <c:pt idx="218" formatCode="_([$$-409]* #\ ##0.00_);_([$$-409]* \(#\ ##0.00\);_([$$-409]* &quot;-&quot;??_);_(@_)">
                  <c:v>108903.15</c:v>
                </c:pt>
                <c:pt idx="219" formatCode="_([$$-409]* #\ ##0.00_);_([$$-409]* \(#\ ##0.00\);_([$$-409]* &quot;-&quot;??_);_(@_)">
                  <c:v>108256.14</c:v>
                </c:pt>
                <c:pt idx="220" formatCode="_([$$-409]* #\ ##0.00_);_([$$-409]* \(#\ ##0.00\);_([$$-409]* &quot;-&quot;??_);_(@_)">
                  <c:v>111068.54</c:v>
                </c:pt>
                <c:pt idx="221" formatCode="_([$$-409]* #\ ##0.00_);_([$$-409]* \(#\ ##0.00\);_([$$-409]* &quot;-&quot;??_);_(@_)">
                  <c:v>108277.94</c:v>
                </c:pt>
                <c:pt idx="222" formatCode="_([$$-409]* #\ ##0.00_);_([$$-409]* \(#\ ##0.00\);_([$$-409]* &quot;-&quot;??_);_(@_)">
                  <c:v>106944.59</c:v>
                </c:pt>
                <c:pt idx="223" formatCode="_([$$-409]* #\ ##0.00_);_([$$-409]* \(#\ ##0.00\);_([$$-409]* &quot;-&quot;??_);_(@_)">
                  <c:v>105465.44</c:v>
                </c:pt>
                <c:pt idx="224" formatCode="_([$$-409]* #\ ##0.00_);_([$$-409]* \(#\ ##0.00\);_([$$-409]* &quot;-&quot;??_);_(@_)">
                  <c:v>104113.12</c:v>
                </c:pt>
                <c:pt idx="225" formatCode="_([$$-409]* #\ ##0.00_);_([$$-409]* \(#\ ##0.00\);_([$$-409]* &quot;-&quot;??_);_(@_)">
                  <c:v>103425.38</c:v>
                </c:pt>
                <c:pt idx="226" formatCode="_([$$-409]* #\ ##0.00_);_([$$-409]* \(#\ ##0.00\);_([$$-409]* &quot;-&quot;??_);_(@_)">
                  <c:v>103740.65</c:v>
                </c:pt>
                <c:pt idx="227" formatCode="_([$$-409]* #\ ##0.00_);_([$$-409]* \(#\ ##0.00\);_([$$-409]* &quot;-&quot;??_);_(@_)">
                  <c:v>103463.6</c:v>
                </c:pt>
                <c:pt idx="228" formatCode="_([$$-409]* #\ ##0.00_);_([$$-409]* \(#\ ##0.00\);_([$$-409]* &quot;-&quot;??_);_(@_)">
                  <c:v>103574.39999999999</c:v>
                </c:pt>
                <c:pt idx="229" formatCode="_([$$-409]* #\ ##0.00_);_([$$-409]* \(#\ ##0.00\);_([$$-409]* &quot;-&quot;??_);_(@_)">
                  <c:v>104611.87</c:v>
                </c:pt>
                <c:pt idx="230" formatCode="_([$$-409]* #\ ##0.00_);_([$$-409]* \(#\ ##0.00\);_([$$-409]* &quot;-&quot;??_);_(@_)">
                  <c:v>102685.39</c:v>
                </c:pt>
                <c:pt idx="231" formatCode="_([$$-409]* #\ ##0.00_);_([$$-409]* \(#\ ##0.00\);_([$$-409]* &quot;-&quot;??_);_(@_)">
                  <c:v>104301.47</c:v>
                </c:pt>
                <c:pt idx="232" formatCode="_([$$-409]* #\ ##0.00_);_([$$-409]* \(#\ ##0.00\);_([$$-409]* &quot;-&quot;??_);_(@_)">
                  <c:v>103174.5</c:v>
                </c:pt>
                <c:pt idx="233" formatCode="_([$$-409]* #\ ##0.00_);_([$$-409]* \(#\ ##0.00\);_([$$-409]* &quot;-&quot;??_);_(@_)">
                  <c:v>103190.5</c:v>
                </c:pt>
                <c:pt idx="234" formatCode="_([$$-409]* #\ ##0.00_);_([$$-409]* \(#\ ##0.00\);_([$$-409]* &quot;-&quot;??_);_(@_)">
                  <c:v>102631.99</c:v>
                </c:pt>
                <c:pt idx="235" formatCode="_([$$-409]* #\ ##0.00_);_([$$-409]* \(#\ ##0.00\);_([$$-409]* &quot;-&quot;??_);_(@_)">
                  <c:v>96769.73</c:v>
                </c:pt>
                <c:pt idx="236" formatCode="_([$$-409]* #\ ##0.00_);_([$$-409]* \(#\ ##0.00\);_([$$-409]* &quot;-&quot;??_);_(@_)">
                  <c:v>94708.93</c:v>
                </c:pt>
                <c:pt idx="237" formatCode="_([$$-409]* #\ ##0.00_);_([$$-409]* \(#\ ##0.00\);_([$$-409]* &quot;-&quot;??_);_(@_)">
                  <c:v>94255.05</c:v>
                </c:pt>
                <c:pt idx="238" formatCode="_([$$-409]* #\ ##0.00_);_([$$-409]* \(#\ ##0.00\);_([$$-409]* &quot;-&quot;??_);_(@_)">
                  <c:v>95730.16</c:v>
                </c:pt>
                <c:pt idx="239" formatCode="_([$$-409]* #\ ##0.00_);_([$$-409]* \(#\ ##0.00\);_([$$-409]* &quot;-&quot;??_);_(@_)">
                  <c:v>96352.02</c:v>
                </c:pt>
                <c:pt idx="240" formatCode="_([$$-409]* #\ ##0.00_);_([$$-409]* \(#\ ##0.00\);_([$$-409]* &quot;-&quot;??_);_(@_)">
                  <c:v>97065.5</c:v>
                </c:pt>
                <c:pt idx="241" formatCode="_([$$-409]* #\ ##0.00_);_([$$-409]* \(#\ ##0.00\);_([$$-409]* &quot;-&quot;??_);_(@_)">
                  <c:v>96479.92</c:v>
                </c:pt>
                <c:pt idx="242" formatCode="_([$$-409]* #\ ##0.00_);_([$$-409]* \(#\ ##0.00\);_([$$-409]* &quot;-&quot;??_);_(@_)">
                  <c:v>94584.43</c:v>
                </c:pt>
                <c:pt idx="243" formatCode="_([$$-409]* #\ ##0.00_);_([$$-409]* \(#\ ##0.00\);_([$$-409]* &quot;-&quot;??_);_(@_)">
                  <c:v>94879.38</c:v>
                </c:pt>
                <c:pt idx="244" formatCode="_([$$-409]* #\ ##0.00_);_([$$-409]* \(#\ ##0.00\);_([$$-409]* &quot;-&quot;??_);_(@_)">
                  <c:v>94515.06</c:v>
                </c:pt>
                <c:pt idx="245" formatCode="_([$$-409]* #\ ##0.00_);_([$$-409]* \(#\ ##0.00\);_([$$-409]* &quot;-&quot;??_);_(@_)">
                  <c:v>94312.21</c:v>
                </c:pt>
                <c:pt idx="246" formatCode="_([$$-409]* #\ ##0.00_);_([$$-409]* \(#\ ##0.00\);_([$$-409]* &quot;-&quot;??_);_(@_)">
                  <c:v>94145.74</c:v>
                </c:pt>
                <c:pt idx="247" formatCode="_([$$-409]* #\ ##0.00_);_([$$-409]* \(#\ ##0.00\);_([$$-409]* &quot;-&quot;??_);_(@_)">
                  <c:v>94965.92</c:v>
                </c:pt>
                <c:pt idx="248" formatCode="_([$$-409]* #\ ##0.00_);_([$$-409]* \(#\ ##0.00\);_([$$-409]* &quot;-&quot;??_);_(@_)">
                  <c:v>93494.51</c:v>
                </c:pt>
                <c:pt idx="249" formatCode="_([$$-409]* #\ ##0.00_);_([$$-409]* \(#\ ##0.00\);_([$$-409]* &quot;-&quot;??_);_(@_)">
                  <c:v>93681.43</c:v>
                </c:pt>
                <c:pt idx="250" formatCode="_([$$-409]* #\ ##0.00_);_([$$-409]* \(#\ ##0.00\);_([$$-409]* &quot;-&quot;??_);_(@_)">
                  <c:v>91158.77</c:v>
                </c:pt>
                <c:pt idx="251" formatCode="_([$$-409]* #\ ##0.00_);_([$$-409]* \(#\ ##0.00\);_([$$-409]* &quot;-&quot;??_);_(@_)">
                  <c:v>87334.25</c:v>
                </c:pt>
                <c:pt idx="252" formatCode="_([$$-409]* #\ ##0.00_);_([$$-409]* \(#\ ##0.00\);_([$$-409]* &quot;-&quot;??_);_(@_)">
                  <c:v>85083.24</c:v>
                </c:pt>
                <c:pt idx="253" formatCode="_([$$-409]* #\ ##0.00_);_([$$-409]* \(#\ ##0.00\);_([$$-409]* &quot;-&quot;??_);_(@_)">
                  <c:v>85200.27</c:v>
                </c:pt>
                <c:pt idx="254" formatCode="_([$$-409]* #\ ##0.00_);_([$$-409]* \(#\ ##0.00\);_([$$-409]* &quot;-&quot;??_);_(@_)">
                  <c:v>84491.51</c:v>
                </c:pt>
                <c:pt idx="255" formatCode="_([$$-409]* #\ ##0.00_);_([$$-409]* \(#\ ##0.00\);_([$$-409]* &quot;-&quot;??_);_(@_)">
                  <c:v>85141.71</c:v>
                </c:pt>
                <c:pt idx="256" formatCode="_([$$-409]* #\ ##0.00_);_([$$-409]* \(#\ ##0.00\);_([$$-409]* &quot;-&quot;??_);_(@_)">
                  <c:v>84297.88</c:v>
                </c:pt>
                <c:pt idx="257" formatCode="_([$$-409]* #\ ##0.00_);_([$$-409]* \(#\ ##0.00\);_([$$-409]* &quot;-&quot;??_);_(@_)">
                  <c:v>83996.68</c:v>
                </c:pt>
                <c:pt idx="258" formatCode="_([$$-409]* #\ ##0.00_);_([$$-409]* \(#\ ##0.00\);_([$$-409]* &quot;-&quot;??_);_(@_)">
                  <c:v>84881.05</c:v>
                </c:pt>
                <c:pt idx="259" formatCode="_([$$-409]* #\ ##0.00_);_([$$-409]* \(#\ ##0.00\);_([$$-409]* &quot;-&quot;??_);_(@_)">
                  <c:v>83482.740000000005</c:v>
                </c:pt>
                <c:pt idx="260" formatCode="_([$$-409]* #\ ##0.00_);_([$$-409]* \(#\ ##0.00\);_([$$-409]* &quot;-&quot;??_);_(@_)">
                  <c:v>85507.77</c:v>
                </c:pt>
                <c:pt idx="261" formatCode="_([$$-409]* #\ ##0.00_);_([$$-409]* \(#\ ##0.00\);_([$$-409]* &quot;-&quot;??_);_(@_)">
                  <c:v>83828.03</c:v>
                </c:pt>
                <c:pt idx="262" formatCode="_([$$-409]* #\ ##0.00_);_([$$-409]* \(#\ ##0.00\);_([$$-409]* &quot;-&quot;??_);_(@_)">
                  <c:v>79876.91</c:v>
                </c:pt>
                <c:pt idx="263" formatCode="_([$$-409]* #\ ##0.00_);_([$$-409]* \(#\ ##0.00\);_([$$-409]* &quot;-&quot;??_);_(@_)">
                  <c:v>83199.83</c:v>
                </c:pt>
                <c:pt idx="264" formatCode="_([$$-409]* #\ ##0.00_);_([$$-409]* \(#\ ##0.00\);_([$$-409]* &quot;-&quot;??_);_(@_)">
                  <c:v>77038.03</c:v>
                </c:pt>
                <c:pt idx="265" formatCode="_([$$-409]* #\ ##0.00_);_([$$-409]* \(#\ ##0.00\);_([$$-409]* &quot;-&quot;??_);_(@_)">
                  <c:v>78917.52</c:v>
                </c:pt>
                <c:pt idx="266" formatCode="_([$$-409]* #\ ##0.00_);_([$$-409]* \(#\ ##0.00\);_([$$-409]* &quot;-&quot;??_);_(@_)">
                  <c:v>78808.77</c:v>
                </c:pt>
                <c:pt idx="267" formatCode="_([$$-409]* #\ ##0.00_);_([$$-409]* \(#\ ##0.00\);_([$$-409]* &quot;-&quot;??_);_(@_)">
                  <c:v>83042.600000000006</c:v>
                </c:pt>
                <c:pt idx="268" formatCode="_([$$-409]* #\ ##0.00_);_([$$-409]* \(#\ ##0.00\);_([$$-409]* &quot;-&quot;??_);_(@_)">
                  <c:v>84128.75</c:v>
                </c:pt>
                <c:pt idx="269" formatCode="_([$$-409]* #\ ##0.00_);_([$$-409]* \(#\ ##0.00\);_([$$-409]* &quot;-&quot;??_);_(@_)">
                  <c:v>82333.240000000005</c:v>
                </c:pt>
                <c:pt idx="270" formatCode="_([$$-409]* #\ ##0.00_);_([$$-409]* \(#\ ##0.00\);_([$$-409]* &quot;-&quot;??_);_(@_)">
                  <c:v>85665.98</c:v>
                </c:pt>
                <c:pt idx="271" formatCode="_([$$-409]* #\ ##0.00_);_([$$-409]* \(#\ ##0.00\);_([$$-409]* &quot;-&quot;??_);_(@_)">
                  <c:v>85239.86</c:v>
                </c:pt>
                <c:pt idx="272" formatCode="_([$$-409]* #\ ##0.00_);_([$$-409]* \(#\ ##0.00\);_([$$-409]* &quot;-&quot;??_);_(@_)">
                  <c:v>82437.86</c:v>
                </c:pt>
                <c:pt idx="273" formatCode="_([$$-409]* #\ ##0.00_);_([$$-409]* \(#\ ##0.00\);_([$$-409]* &quot;-&quot;??_);_(@_)">
                  <c:v>82547.94</c:v>
                </c:pt>
                <c:pt idx="274" formatCode="_([$$-409]* #\ ##0.00_);_([$$-409]* \(#\ ##0.00\);_([$$-409]* &quot;-&quot;??_);_(@_)">
                  <c:v>82506.080000000002</c:v>
                </c:pt>
                <c:pt idx="275" formatCode="_([$$-409]* #\ ##0.00_);_([$$-409]* \(#\ ##0.00\);_([$$-409]* &quot;-&quot;??_);_(@_)">
                  <c:v>83793.95</c:v>
                </c:pt>
                <c:pt idx="276" formatCode="_([$$-409]* #\ ##0.00_);_([$$-409]* \(#\ ##0.00\);_([$$-409]* &quot;-&quot;??_);_(@_)">
                  <c:v>87305.09</c:v>
                </c:pt>
                <c:pt idx="277" formatCode="_([$$-409]* #\ ##0.00_);_([$$-409]* \(#\ ##0.00\);_([$$-409]* &quot;-&quot;??_);_(@_)">
                  <c:v>87273.75</c:v>
                </c:pt>
                <c:pt idx="278" formatCode="_([$$-409]* #\ ##0.00_);_([$$-409]* \(#\ ##0.00\);_([$$-409]* &quot;-&quot;??_);_(@_)">
                  <c:v>87895.58</c:v>
                </c:pt>
                <c:pt idx="279" formatCode="_([$$-409]* #\ ##0.00_);_([$$-409]* \(#\ ##0.00\);_([$$-409]* &quot;-&quot;??_);_(@_)">
                  <c:v>87896.62</c:v>
                </c:pt>
                <c:pt idx="280" formatCode="_([$$-409]* #\ ##0.00_);_([$$-409]* \(#\ ##0.00\);_([$$-409]* &quot;-&quot;??_);_(@_)">
                  <c:v>85152.85</c:v>
                </c:pt>
                <c:pt idx="281" formatCode="_([$$-409]* #\ ##0.00_);_([$$-409]* \(#\ ##0.00\);_([$$-409]* &quot;-&quot;??_);_(@_)">
                  <c:v>83942.15</c:v>
                </c:pt>
                <c:pt idx="282" formatCode="_([$$-409]* #\ ##0.00_);_([$$-409]* \(#\ ##0.00\);_([$$-409]* &quot;-&quot;??_);_(@_)">
                  <c:v>84177.600000000006</c:v>
                </c:pt>
                <c:pt idx="283" formatCode="_([$$-409]* #\ ##0.00_);_([$$-409]* \(#\ ##0.00\);_([$$-409]* &quot;-&quot;??_);_(@_)">
                  <c:v>84511.88</c:v>
                </c:pt>
                <c:pt idx="284" formatCode="_([$$-409]* #\ ##0.00_);_([$$-409]* \(#\ ##0.00\);_([$$-409]* &quot;-&quot;??_);_(@_)">
                  <c:v>85375.679999999993</c:v>
                </c:pt>
                <c:pt idx="285" formatCode="_([$$-409]* #\ ##0.00_);_([$$-409]* \(#\ ##0.00\);_([$$-409]* &quot;-&quot;??_);_(@_)">
                  <c:v>82014.679999999993</c:v>
                </c:pt>
                <c:pt idx="286" formatCode="_([$$-409]* #\ ##0.00_);_([$$-409]* \(#\ ##0.00\);_([$$-409]* &quot;-&quot;??_);_(@_)">
                  <c:v>83974.87</c:v>
                </c:pt>
                <c:pt idx="287" formatCode="_([$$-409]* #\ ##0.00_);_([$$-409]* \(#\ ##0.00\);_([$$-409]* &quot;-&quot;??_);_(@_)">
                  <c:v>83234.83</c:v>
                </c:pt>
                <c:pt idx="288" formatCode="_([$$-409]* #\ ##0.00_);_([$$-409]* \(#\ ##0.00\);_([$$-409]* &quot;-&quot;??_);_(@_)">
                  <c:v>84406.38</c:v>
                </c:pt>
                <c:pt idx="289" formatCode="_([$$-409]* #\ ##0.00_);_([$$-409]* \(#\ ##0.00\);_([$$-409]* &quot;-&quot;??_);_(@_)">
                  <c:v>84175.66</c:v>
                </c:pt>
                <c:pt idx="290" formatCode="_([$$-409]* #\ ##0.00_);_([$$-409]* \(#\ ##0.00\);_([$$-409]* &quot;-&quot;??_);_(@_)">
                  <c:v>80350.460000000006</c:v>
                </c:pt>
                <c:pt idx="291" formatCode="_([$$-409]* #\ ##0.00_);_([$$-409]* \(#\ ##0.00\);_([$$-409]* &quot;-&quot;??_);_(@_)">
                  <c:v>83142.92</c:v>
                </c:pt>
                <c:pt idx="292" formatCode="_([$$-409]* #\ ##0.00_);_([$$-409]* \(#\ ##0.00\);_([$$-409]* &quot;-&quot;??_);_(@_)">
                  <c:v>82815</c:v>
                </c:pt>
                <c:pt idx="293" formatCode="_([$$-409]* #\ ##0.00_);_([$$-409]* \(#\ ##0.00\);_([$$-409]* &quot;-&quot;??_);_(@_)">
                  <c:v>79277</c:v>
                </c:pt>
                <c:pt idx="294" formatCode="_([$$-409]* #\ ##0.00_);_([$$-409]* \(#\ ##0.00\);_([$$-409]* &quot;-&quot;??_);_(@_)">
                  <c:v>83080.22</c:v>
                </c:pt>
                <c:pt idx="295" formatCode="_([$$-409]* #\ ##0.00_);_([$$-409]* \(#\ ##0.00\);_([$$-409]* &quot;-&quot;??_);_(@_)">
                  <c:v>86206.18</c:v>
                </c:pt>
                <c:pt idx="296" formatCode="_([$$-409]* #\ ##0.00_);_([$$-409]* \(#\ ##0.00\);_([$$-409]* &quot;-&quot;??_);_(@_)">
                  <c:v>86273.68</c:v>
                </c:pt>
                <c:pt idx="297" formatCode="_([$$-409]* #\ ##0.00_);_([$$-409]* \(#\ ##0.00\);_([$$-409]* &quot;-&quot;??_);_(@_)">
                  <c:v>89475.1</c:v>
                </c:pt>
                <c:pt idx="298" formatCode="_([$$-409]* #\ ##0.00_);_([$$-409]* \(#\ ##0.00\);_([$$-409]* &quot;-&quot;??_);_(@_)">
                  <c:v>90406.99</c:v>
                </c:pt>
                <c:pt idx="299" formatCode="_([$$-409]* #\ ##0.00_);_([$$-409]* \(#\ ##0.00\);_([$$-409]* &quot;-&quot;??_);_(@_)">
                  <c:v>87516.17</c:v>
                </c:pt>
                <c:pt idx="300" formatCode="_([$$-409]* #\ ##0.00_);_([$$-409]* \(#\ ##0.00\);_([$$-409]* &quot;-&quot;??_);_(@_)">
                  <c:v>85290.62</c:v>
                </c:pt>
                <c:pt idx="301" formatCode="_([$$-409]* #\ ##0.00_);_([$$-409]* \(#\ ##0.00\);_([$$-409]* &quot;-&quot;??_);_(@_)">
                  <c:v>94284.67</c:v>
                </c:pt>
                <c:pt idx="302" formatCode="_([$$-409]* #\ ##0.00_);_([$$-409]* \(#\ ##0.00\);_([$$-409]* &quot;-&quot;??_);_(@_)">
                  <c:v>84252.78</c:v>
                </c:pt>
                <c:pt idx="303" formatCode="_([$$-409]* #\ ##0.00_);_([$$-409]* \(#\ ##0.00\);_([$$-409]* &quot;-&quot;??_);_(@_)">
                  <c:v>84252.78</c:v>
                </c:pt>
                <c:pt idx="304" formatCode="_([$$-409]* #\ ##0.00_);_([$$-409]* \(#\ ##0.00\);_([$$-409]* &quot;-&quot;??_);_(@_)">
                  <c:v>84294.48</c:v>
                </c:pt>
                <c:pt idx="305" formatCode="_([$$-409]* #\ ##0.00_);_([$$-409]* \(#\ ##0.00\);_([$$-409]* &quot;-&quot;??_);_(@_)">
                  <c:v>84454.71</c:v>
                </c:pt>
                <c:pt idx="306" formatCode="_([$$-409]* #\ ##0.00_);_([$$-409]* \(#\ ##0.00\);_([$$-409]* &quot;-&quot;??_);_(@_)">
                  <c:v>88680.81</c:v>
                </c:pt>
                <c:pt idx="307" formatCode="_([$$-409]* #\ ##0.00_);_([$$-409]* \(#\ ##0.00\);_([$$-409]* &quot;-&quot;??_);_(@_)">
                  <c:v>93978.86</c:v>
                </c:pt>
                <c:pt idx="308" formatCode="_([$$-409]* #\ ##0.00_);_([$$-409]* \(#\ ##0.00\);_([$$-409]* &quot;-&quot;??_);_(@_)">
                  <c:v>95355.42</c:v>
                </c:pt>
                <c:pt idx="309" formatCode="_([$$-409]* #\ ##0.00_);_([$$-409]* \(#\ ##0.00\);_([$$-409]* &quot;-&quot;??_);_(@_)">
                  <c:v>95355.42</c:v>
                </c:pt>
                <c:pt idx="310" formatCode="_([$$-409]* #\ ##0.00_);_([$$-409]* \(#\ ##0.00\);_([$$-409]* &quot;-&quot;??_);_(@_)">
                  <c:v>98136.13</c:v>
                </c:pt>
                <c:pt idx="311" formatCode="_([$$-409]* #\ ##0.00_);_([$$-409]* \(#\ ##0.00\);_([$$-409]* &quot;-&quot;??_);_(@_)">
                  <c:v>96317.06</c:v>
                </c:pt>
                <c:pt idx="312" formatCode="_([$$-409]* #\ ##0.00_);_([$$-409]* \(#\ ##0.00\);_([$$-409]* &quot;-&quot;??_);_(@_)">
                  <c:v>95038.01</c:v>
                </c:pt>
                <c:pt idx="313" formatCode="_([$$-409]* #\ ##0.00_);_([$$-409]* \(#\ ##0.00\);_([$$-409]* &quot;-&quot;??_);_(@_)">
                  <c:v>96439.03</c:v>
                </c:pt>
                <c:pt idx="314" formatCode="_([$$-409]* #\ ##0.00_);_([$$-409]* \(#\ ##0.00\);_([$$-409]* &quot;-&quot;??_);_(@_)">
                  <c:v>97173.52</c:v>
                </c:pt>
                <c:pt idx="315" formatCode="_([$$-409]* #\ ##0.00_);_([$$-409]* \(#\ ##0.00\);_([$$-409]* &quot;-&quot;??_);_(@_)">
                  <c:v>97501.29</c:v>
                </c:pt>
                <c:pt idx="316" formatCode="_([$$-409]* #\ ##0.00_);_([$$-409]* \(#\ ##0.00\);_([$$-409]* &quot;-&quot;??_);_(@_)">
                  <c:v>96507.3</c:v>
                </c:pt>
                <c:pt idx="317" formatCode="_([$$-409]* #\ ##0.00_);_([$$-409]* \(#\ ##0.00\);_([$$-409]* &quot;-&quot;??_);_(@_)">
                  <c:v>97683.32</c:v>
                </c:pt>
                <c:pt idx="318" formatCode="_([$$-409]* #\ ##0.00_);_([$$-409]* \(#\ ##0.00\);_([$$-409]* &quot;-&quot;??_);_(@_)">
                  <c:v>96394.240000000005</c:v>
                </c:pt>
                <c:pt idx="319" formatCode="_([$$-409]* #\ ##0.00_);_([$$-409]* \(#\ ##0.00\);_([$$-409]* &quot;-&quot;??_);_(@_)">
                  <c:v>97410</c:v>
                </c:pt>
                <c:pt idx="320" formatCode="_([$$-409]* #\ ##0.00_);_([$$-409]* \(#\ ##0.00\);_([$$-409]* &quot;-&quot;??_);_(@_)">
                  <c:v>2.3416999999999999</c:v>
                </c:pt>
                <c:pt idx="321" formatCode="_([$$-409]* #\ ##0.00_);_([$$-409]* \(#\ ##0.00\);_([$$-409]* &quot;-&quot;??_);_(@_)">
                  <c:v>96016.62</c:v>
                </c:pt>
                <c:pt idx="322" formatCode="_([$$-409]* #\ ##0.00_);_([$$-409]* \(#\ ##0.00\);_([$$-409]* &quot;-&quot;??_);_(@_)">
                  <c:v>96016.62</c:v>
                </c:pt>
                <c:pt idx="323" formatCode="_([$$-409]* #\ ##0.00_);_([$$-409]* \(#\ ##0.00\);_([$$-409]* &quot;-&quot;??_);_(@_)">
                  <c:v>96818.93</c:v>
                </c:pt>
                <c:pt idx="324" formatCode="_([$$-409]* #\ ##0.00_);_([$$-409]* \(#\ ##0.00\);_([$$-409]* &quot;-&quot;??_);_(@_)">
                  <c:v>96929.21</c:v>
                </c:pt>
                <c:pt idx="325" formatCode="_([$$-409]* #\ ##0.00_);_([$$-409]* \(#\ ##0.00\);_([$$-409]* &quot;-&quot;??_);_(@_)">
                  <c:v>96503.88</c:v>
                </c:pt>
                <c:pt idx="326" formatCode="_([$$-409]* #\ ##0.00_);_([$$-409]* \(#\ ##0.00\);_([$$-409]* &quot;-&quot;??_);_(@_)">
                  <c:v>101868.58</c:v>
                </c:pt>
                <c:pt idx="327" formatCode="_([$$-409]* #\ ##0.00_);_([$$-409]* \(#\ ##0.00\);_([$$-409]* &quot;-&quot;??_);_(@_)">
                  <c:v>96955.6</c:v>
                </c:pt>
                <c:pt idx="328" formatCode="_([$$-409]* #\ ##0.00_);_([$$-409]* \(#\ ##0.00\);_([$$-409]* &quot;-&quot;??_);_(@_)">
                  <c:v>102146.15</c:v>
                </c:pt>
                <c:pt idx="329" formatCode="_([$$-409]* #\ ##0.00_);_([$$-409]* \(#\ ##0.00\);_([$$-409]* &quot;-&quot;??_);_(@_)">
                  <c:v>105049.72</c:v>
                </c:pt>
                <c:pt idx="330" formatCode="_([$$-409]* #\ ##0.00_);_([$$-409]* \(#\ ##0.00\);_([$$-409]* &quot;-&quot;??_);_(@_)">
                  <c:v>103763.52</c:v>
                </c:pt>
                <c:pt idx="331" formatCode="_([$$-409]* #\ ##0.00_);_([$$-409]* \(#\ ##0.00\);_([$$-409]* &quot;-&quot;??_);_(@_)">
                  <c:v>100324.82</c:v>
                </c:pt>
                <c:pt idx="332" formatCode="_([$$-409]* #\ ##0.00_);_([$$-409]* \(#\ ##0.00\);_([$$-409]* &quot;-&quot;??_);_(@_)">
                  <c:v>101350.81</c:v>
                </c:pt>
                <c:pt idx="333" formatCode="_([$$-409]* #\ ##0.00_);_([$$-409]* \(#\ ##0.00\);_([$$-409]* &quot;-&quot;??_);_(@_)">
                  <c:v>104620.34</c:v>
                </c:pt>
                <c:pt idx="334" formatCode="_([$$-409]* #\ ##0.00_);_([$$-409]* \(#\ ##0.00\);_([$$-409]* &quot;-&quot;??_);_(@_)">
                  <c:v>105103.66</c:v>
                </c:pt>
                <c:pt idx="335" formatCode="_([$$-409]* #\ ##0.00_);_([$$-409]* \(#\ ##0.00\);_([$$-409]* &quot;-&quot;??_);_(@_)">
                  <c:v>105103.66</c:v>
                </c:pt>
                <c:pt idx="336" formatCode="_([$$-409]* #\ ##0.00_);_([$$-409]* \(#\ ##0.00\);_([$$-409]* &quot;-&quot;??_);_(@_)">
                  <c:v>103124.76</c:v>
                </c:pt>
                <c:pt idx="337" formatCode="_([$$-409]* #\ ##0.00_);_([$$-409]* \(#\ ##0.00\);_([$$-409]* &quot;-&quot;??_);_(@_)">
                  <c:v>104069.74</c:v>
                </c:pt>
                <c:pt idx="338" formatCode="_([$$-409]* #\ ##0.00_);_([$$-409]* \(#\ ##0.00\);_([$$-409]* &quot;-&quot;??_);_(@_)">
                  <c:v>106787.46</c:v>
                </c:pt>
                <c:pt idx="339" formatCode="_([$$-409]* #\ ##0.00_);_([$$-409]* \(#\ ##0.00\);_([$$-409]* &quot;-&quot;??_);_(@_)">
                  <c:v>102547.79</c:v>
                </c:pt>
                <c:pt idx="340" formatCode="_([$$-409]* #\ ##0.00_);_([$$-409]* \(#\ ##0.00\);_([$$-409]* &quot;-&quot;??_);_(@_)">
                  <c:v>103660.35</c:v>
                </c:pt>
                <c:pt idx="341" formatCode="_([$$-409]* #\ ##0.00_);_([$$-409]* \(#\ ##0.00\);_([$$-409]* &quot;-&quot;??_);_(@_)">
                  <c:v>104642.32</c:v>
                </c:pt>
                <c:pt idx="342" formatCode="_([$$-409]* #\ ##0.00_);_([$$-409]* \(#\ ##0.00\);_([$$-409]* &quot;-&quot;??_);_(@_)">
                  <c:v>104642.32</c:v>
                </c:pt>
                <c:pt idx="343" formatCode="_([$$-409]* #\ ##0.00_);_([$$-409]* \(#\ ##0.00\);_([$$-409]* &quot;-&quot;??_);_(@_)">
                  <c:v>100136.79</c:v>
                </c:pt>
                <c:pt idx="344" formatCode="_([$$-409]* #\ ##0.00_);_([$$-409]* \(#\ ##0.00\);_([$$-409]* &quot;-&quot;??_);_(@_)">
                  <c:v>99673.49</c:v>
                </c:pt>
                <c:pt idx="345" formatCode="_([$$-409]* #\ ##0.00_);_([$$-409]* \(#\ ##0.00\);_([$$-409]* &quot;-&quot;??_);_(@_)">
                  <c:v>96442.64</c:v>
                </c:pt>
                <c:pt idx="346" formatCode="_([$$-409]* #\ ##0.00_);_([$$-409]* \(#\ ##0.00\);_([$$-409]* &quot;-&quot;??_);_(@_)">
                  <c:v>94173.24</c:v>
                </c:pt>
                <c:pt idx="347" formatCode="_([$$-409]* #\ ##0.00_);_([$$-409]* \(#\ ##0.00\);_([$$-409]* &quot;-&quot;??_);_(@_)">
                  <c:v>94313.97</c:v>
                </c:pt>
                <c:pt idx="348" formatCode="_([$$-409]* #\ ##0.00_);_([$$-409]* \(#\ ##0.00\);_([$$-409]* &quot;-&quot;??_);_(@_)">
                  <c:v>94637.47</c:v>
                </c:pt>
                <c:pt idx="349" formatCode="_([$$-409]* #\ ##0.00_);_([$$-409]* \(#\ ##0.00\);_([$$-409]* &quot;-&quot;??_);_(@_)">
                  <c:v>94637.47</c:v>
                </c:pt>
                <c:pt idx="350" formatCode="_([$$-409]* #\ ##0.00_);_([$$-409]* \(#\ ##0.00\);_([$$-409]* &quot;-&quot;??_);_(@_)">
                  <c:v>92131.11</c:v>
                </c:pt>
                <c:pt idx="351" formatCode="_([$$-409]* #\ ##0.00_);_([$$-409]* \(#\ ##0.00\);_([$$-409]* &quot;-&quot;??_);_(@_)">
                  <c:v>94478.57</c:v>
                </c:pt>
                <c:pt idx="352" formatCode="_([$$-409]* #\ ##0.00_);_([$$-409]* \(#\ ##0.00\);_([$$-409]* &quot;-&quot;??_);_(@_)">
                  <c:v>96551.69</c:v>
                </c:pt>
                <c:pt idx="353" formatCode="_([$$-409]* #\ ##0.00_);_([$$-409]* \(#\ ##0.00\);_([$$-409]* &quot;-&quot;??_);_(@_)">
                  <c:v>101660.67</c:v>
                </c:pt>
                <c:pt idx="354" formatCode="_([$$-409]* #\ ##0.00_);_([$$-409]* \(#\ ##0.00\);_([$$-409]* &quot;-&quot;??_);_(@_)">
                  <c:v>98233.33</c:v>
                </c:pt>
                <c:pt idx="355" formatCode="_([$$-409]* #\ ##0.00_);_([$$-409]* \(#\ ##0.00\);_([$$-409]* &quot;-&quot;??_);_(@_)">
                  <c:v>98229.3</c:v>
                </c:pt>
                <c:pt idx="356" formatCode="_([$$-409]* #\ ##0.00_);_([$$-409]* \(#\ ##0.00\);_([$$-409]* &quot;-&quot;??_);_(@_)">
                  <c:v>98229.3</c:v>
                </c:pt>
                <c:pt idx="357" formatCode="_([$$-409]* #\ ##0.00_);_([$$-409]* \(#\ ##0.00\);_([$$-409]* &quot;-&quot;??_);_(@_)">
                  <c:v>97115</c:v>
                </c:pt>
                <c:pt idx="358" formatCode="_([$$-409]* #\ ##0.00_);_([$$-409]* \(#\ ##0.00\);_([$$-409]* &quot;-&quot;??_);_(@_)">
                  <c:v>94777</c:v>
                </c:pt>
                <c:pt idx="359" formatCode="_([$$-409]* #\ ##0.00_);_([$$-409]* \(#\ ##0.00\);_([$$-409]* &quot;-&quot;??_);_(@_)">
                  <c:v>93686.62</c:v>
                </c:pt>
                <c:pt idx="360" formatCode="_([$$-409]* #\ ##0.00_);_([$$-409]* \(#\ ##0.00\);_([$$-409]* &quot;-&quot;??_);_(@_)">
                  <c:v>91923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61-3945-826A-00A7357D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5400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2857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2857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axId val="819173056"/>
        <c:axId val="819174848"/>
      </c:stockChart>
      <c:catAx>
        <c:axId val="819173056"/>
        <c:scaling>
          <c:orientation val="maxMin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35000"/>
                <a:lumOff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19174848"/>
        <c:crosses val="autoZero"/>
        <c:auto val="1"/>
        <c:lblAlgn val="ctr"/>
        <c:lblOffset val="100"/>
        <c:tickLblSkip val="14"/>
        <c:tickMarkSkip val="7"/>
        <c:noMultiLvlLbl val="0"/>
      </c:catAx>
      <c:valAx>
        <c:axId val="819174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19173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10000"/>
        </a:schemeClr>
      </a:solidFill>
      <a:ln w="28575">
        <a:solidFill>
          <a:schemeClr val="phClr"/>
        </a:solidFill>
      </a:ln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10000"/>
        </a:schemeClr>
      </a:solidFill>
      <a:ln w="28575">
        <a:solidFill>
          <a:schemeClr val="phClr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816988</xdr:colOff>
      <xdr:row>8</xdr:row>
      <xdr:rowOff>201849</xdr:rowOff>
    </xdr:from>
    <xdr:to>
      <xdr:col>21</xdr:col>
      <xdr:colOff>786589</xdr:colOff>
      <xdr:row>36</xdr:row>
      <xdr:rowOff>126190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1AD722-8FB9-6CFB-6B8C-5C1B578FF3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787400</xdr:colOff>
      <xdr:row>1</xdr:row>
      <xdr:rowOff>127000</xdr:rowOff>
    </xdr:from>
    <xdr:to>
      <xdr:col>8</xdr:col>
      <xdr:colOff>283450</xdr:colOff>
      <xdr:row>9</xdr:row>
      <xdr:rowOff>125177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6D5B91-400A-A142-82DA-76AC86062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0" y="330200"/>
          <a:ext cx="4449050" cy="162377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</xdr:row>
      <xdr:rowOff>152400</xdr:rowOff>
    </xdr:from>
    <xdr:to>
      <xdr:col>8</xdr:col>
      <xdr:colOff>2394</xdr:colOff>
      <xdr:row>13</xdr:row>
      <xdr:rowOff>128355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B42B3E-DE5A-2444-A127-7BB8E3944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0" y="2184400"/>
          <a:ext cx="4129894" cy="585555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14</xdr:row>
      <xdr:rowOff>12700</xdr:rowOff>
    </xdr:from>
    <xdr:to>
      <xdr:col>7</xdr:col>
      <xdr:colOff>685800</xdr:colOff>
      <xdr:row>16</xdr:row>
      <xdr:rowOff>50800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4D2FC78-7C0D-DD4A-F3DA-2350F784E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01900" y="2857500"/>
          <a:ext cx="3962400" cy="4445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IETO Pierre" id="{413D7DA9-97B0-D04E-98CC-1D37EE26283F}" userId="S::pierre.nieto@edu.devinci.fr::d15f4f8f-8578-451d-b224-6f2b6a20d05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array.xml><?xml version="1.0" encoding="utf-8"?>
<arrayData xmlns="http://schemas.microsoft.com/office/spreadsheetml/2017/richdata2" count="7">
  <a r="1" c="260">
    <v t="i">0</v>
    <v t="i">1</v>
    <v t="i">2</v>
    <v t="i">3</v>
    <v t="i">4</v>
    <v t="i">7</v>
    <v t="i">8</v>
    <v t="i">9</v>
    <v t="i">10</v>
    <v t="i">11</v>
    <v t="i">14</v>
    <v t="i">15</v>
    <v t="i">16</v>
    <v t="i">17</v>
    <v t="i">18</v>
    <v t="i">21</v>
    <v t="i">22</v>
    <v t="i">23</v>
    <v t="i">24</v>
    <v t="i">25</v>
    <v t="i">28</v>
    <v t="i">29</v>
    <v t="i">30</v>
    <v t="i">31</v>
    <v t="i">32</v>
    <v t="i">35</v>
    <v t="i">36</v>
    <v t="i">37</v>
    <v t="i">38</v>
    <v t="i">39</v>
    <v t="i">42</v>
    <v t="i">43</v>
    <v t="i">44</v>
    <v t="i">45</v>
    <v t="i">46</v>
    <v t="i">49</v>
    <v t="i">50</v>
    <v t="i">51</v>
    <v t="i">52</v>
    <v t="i">53</v>
    <v t="i">56</v>
    <v t="i">57</v>
    <v t="i">58</v>
    <v t="i">59</v>
    <v t="i">60</v>
    <v t="i">63</v>
    <v t="i">64</v>
    <v t="i">65</v>
    <v t="i">66</v>
    <v t="i">67</v>
    <v t="i">70</v>
    <v t="i">71</v>
    <v t="i">72</v>
    <v t="i">73</v>
    <v t="i">74</v>
    <v t="i">77</v>
    <v t="i">78</v>
    <v t="i">79</v>
    <v t="i">80</v>
    <v t="i">81</v>
    <v t="i">84</v>
    <v t="i">85</v>
    <v t="i">86</v>
    <v t="i">87</v>
    <v t="i">88</v>
    <v t="i">91</v>
    <v t="i">92</v>
    <v t="i">93</v>
    <v t="i">94</v>
    <v t="i">95</v>
    <v t="i">98</v>
    <v t="i">99</v>
    <v t="i">100</v>
    <v t="i">101</v>
    <v t="i">102</v>
    <v t="i">105</v>
    <v t="i">106</v>
    <v t="i">107</v>
    <v t="i">108</v>
    <v t="i">109</v>
    <v t="i">112</v>
    <v t="i">113</v>
    <v t="i">114</v>
    <v t="i">115</v>
    <v t="i">116</v>
    <v t="i">119</v>
    <v t="i">120</v>
    <v t="i">121</v>
    <v t="i">122</v>
    <v t="i">123</v>
    <v t="i">126</v>
    <v t="i">127</v>
    <v t="i">128</v>
    <v t="i">129</v>
    <v t="i">130</v>
    <v t="i">133</v>
    <v t="i">134</v>
    <v t="i">135</v>
    <v t="i">136</v>
    <v t="i">137</v>
    <v t="i">140</v>
    <v t="i">141</v>
    <v t="i">142</v>
    <v t="i">143</v>
    <v t="i">144</v>
    <v t="i">147</v>
    <v t="i">148</v>
    <v t="i">149</v>
    <v t="i">150</v>
    <v t="i">151</v>
    <v t="i">154</v>
    <v t="i">155</v>
    <v t="i">156</v>
    <v t="i">157</v>
    <v t="i">158</v>
    <v t="i">161</v>
    <v t="i">162</v>
    <v t="i">163</v>
    <v t="i">164</v>
    <v t="i">165</v>
    <v t="i">168</v>
    <v t="i">169</v>
    <v t="i">170</v>
    <v t="i">171</v>
    <v t="i">172</v>
    <v t="i">175</v>
    <v t="i">176</v>
    <v t="i">177</v>
    <v t="i">178</v>
    <v t="i">179</v>
    <v t="i">182</v>
    <v t="i">183</v>
    <v t="i">184</v>
    <v t="i">185</v>
    <v t="i">186</v>
    <v t="i">189</v>
    <v t="i">190</v>
    <v t="i">191</v>
    <v t="i">192</v>
    <v t="i">193</v>
    <v t="i">196</v>
    <v t="i">197</v>
    <v t="i">198</v>
    <v t="i">199</v>
    <v t="i">200</v>
    <v t="i">203</v>
    <v t="i">204</v>
    <v t="i">205</v>
    <v t="i">206</v>
    <v t="i">207</v>
    <v t="i">210</v>
    <v t="i">211</v>
    <v t="i">212</v>
    <v t="i">213</v>
    <v t="i">214</v>
    <v t="i">217</v>
    <v t="i">218</v>
    <v t="i">219</v>
    <v t="i">220</v>
    <v t="i">221</v>
    <v t="i">224</v>
    <v t="i">225</v>
    <v t="i">226</v>
    <v t="i">227</v>
    <v t="i">228</v>
    <v t="i">231</v>
    <v t="i">232</v>
    <v t="i">233</v>
    <v t="i">234</v>
    <v t="i">235</v>
    <v t="i">238</v>
    <v t="i">239</v>
    <v t="i">240</v>
    <v t="i">241</v>
    <v t="i">242</v>
    <v t="i">245</v>
    <v t="i">246</v>
    <v t="i">247</v>
    <v t="i">248</v>
    <v t="i">249</v>
    <v t="i">252</v>
    <v t="i">253</v>
    <v t="i">254</v>
    <v t="i">255</v>
    <v t="i">256</v>
    <v t="i">259</v>
    <v t="i">260</v>
    <v t="i">261</v>
    <v t="i">262</v>
    <v t="i">263</v>
    <v t="i">266</v>
    <v t="i">267</v>
    <v t="i">268</v>
    <v t="i">269</v>
    <v t="i">270</v>
    <v t="i">273</v>
    <v t="i">274</v>
    <v t="i">275</v>
    <v t="i">276</v>
    <v t="i">277</v>
    <v t="i">280</v>
    <v t="i">281</v>
    <v t="i">282</v>
    <v t="i">283</v>
    <v t="i">284</v>
    <v t="i">287</v>
    <v t="i">288</v>
    <v t="i">289</v>
    <v t="i">290</v>
    <v t="i">291</v>
    <v t="i">294</v>
    <v t="i">295</v>
    <v t="i">296</v>
    <v t="i">297</v>
    <v t="i">298</v>
    <v t="i">301</v>
    <v t="i">302</v>
    <v t="i">303</v>
    <v t="i">304</v>
    <v t="i">305</v>
    <v t="i">308</v>
    <v t="i">309</v>
    <v t="i">310</v>
    <v t="i">311</v>
    <v t="i">312</v>
    <v t="i">315</v>
    <v t="i">316</v>
    <v t="i">317</v>
    <v t="i">318</v>
    <v t="i">319</v>
    <v t="i">322</v>
    <v t="i">323</v>
    <v t="i">324</v>
    <v t="i">325</v>
    <v t="i">326</v>
    <v t="i">329</v>
    <v t="i">330</v>
    <v t="i">331</v>
    <v t="i">332</v>
    <v t="i">333</v>
    <v t="i">336</v>
    <v t="i">337</v>
    <v t="i">338</v>
    <v t="i">339</v>
    <v t="i">340</v>
    <v t="i">343</v>
    <v t="i">344</v>
    <v t="i">345</v>
    <v t="i">346</v>
    <v t="i">347</v>
    <v t="i">350</v>
    <v t="i">351</v>
    <v t="i">352</v>
    <v t="i">353</v>
    <v t="i">354</v>
    <v t="i">357</v>
    <v t="i">358</v>
    <v t="i">359</v>
    <v t="i">360</v>
    <v t="i">361</v>
  </a>
  <a r="1" c="260">
    <v>1.0407</v>
    <v>1.0353000000000001</v>
    <v>1.0355000000000001</v>
    <v>1.0265</v>
    <v>1.0307999999999999</v>
    <v>1.0389999999999999</v>
    <v>1.0339</v>
    <v>1.0318000000000001</v>
    <v>1.0298</v>
    <v>1.0244</v>
    <v>1.0244</v>
    <v>1.0306999999999999</v>
    <v>1.0288999999999999</v>
    <v>1.0298</v>
    <v>1.0270999999999999</v>
    <v>1.0414000000000001</v>
    <v>1.0428999999999999</v>
    <v>1.0407</v>
    <v>1.0415000000000001</v>
    <v>1.0492999999999999</v>
    <v>1.0490999999999999</v>
    <v>1.0427999999999999</v>
    <v>1.042</v>
    <v>1.0389999999999999</v>
    <v>1.0362</v>
    <v>1.0344</v>
    <v>1.0377000000000001</v>
    <v>1.0402</v>
    <v>1.0381</v>
    <v>1.0327</v>
    <v>1.0306</v>
    <v>1.036</v>
    <v>1.0382</v>
    <v>1.0464</v>
    <v>1.0490999999999999</v>
    <v>1.0482</v>
    <v>1.0445</v>
    <v>1.0421</v>
    <v>1.05</v>
    <v>1.0458000000000001</v>
    <v>1.0466</v>
    <v>1.0512999999999999</v>
    <v>1.0483</v>
    <v>1.0397000000000001</v>
    <v>1.0375000000000001</v>
    <v>1.0486</v>
    <v>1.0624</v>
    <v>1.079</v>
    <v>1.0783</v>
    <v>1.0831999999999999</v>
    <v>1.0831999999999999</v>
    <v>1.0918000000000001</v>
    <v>1.0886</v>
    <v>1.0851999999999999</v>
    <v>1.0879000000000001</v>
    <v>1.0921000000000001</v>
    <v>1.0943000000000001</v>
    <v>1.0901000000000001</v>
    <v>1.0851</v>
    <v>1.0813999999999999</v>
    <v>1.08</v>
    <v>1.0790999999999999</v>
    <v>1.0751999999999999</v>
    <v>1.0801000000000001</v>
    <v>1.0827</v>
    <v>1.0817000000000001</v>
    <v>1.0792999999999999</v>
    <v>1.0854999999999999</v>
    <v>1.105</v>
    <v>1.0954999999999999</v>
    <v>1.0904</v>
    <v>1.0955999999999999</v>
    <v>1.0951</v>
    <v>1.1196999999999999</v>
    <v>1.1359999999999999</v>
    <v>1.1349</v>
    <v>1.1281000000000001</v>
    <v>1.1397999999999999</v>
    <v>1.1363000000000001</v>
    <v>1.1391</v>
    <v>1.1513</v>
    <v>1.1419999999999999</v>
    <v>1.1313</v>
    <v>1.1388</v>
    <v>1.1364000000000001</v>
    <v>1.1420999999999999</v>
    <v>1.1385000000000001</v>
    <v>1.1327</v>
    <v>1.1291</v>
    <v>1.1294999999999999</v>
    <v>1.1314</v>
    <v>1.1368</v>
    <v>1.1298999999999999</v>
    <v>1.1227</v>
    <v>1.1247</v>
    <v>1.1087</v>
    <v>1.1184000000000001</v>
    <v>1.1173999999999999</v>
    <v>1.1187</v>
    <v>1.1163000000000001</v>
    <v>1.1242000000000001</v>
    <v>1.1282000000000001</v>
    <v>1.1329</v>
    <v>1.1279999999999999</v>
    <v>1.1364000000000001</v>
    <v>1.1387</v>
    <v>1.1328</v>
    <v>1.1292</v>
    <v>1.1371</v>
    <v>1.1347</v>
    <v>1.1440999999999999</v>
    <v>1.137</v>
    <v>1.1416999999999999</v>
    <v>1.1444000000000001</v>
    <v>1.1394</v>
    <v>1.1419999999999999</v>
    <v>1.1423000000000001</v>
    <v>1.1487000000000001</v>
    <v>1.1583000000000001</v>
    <v>1.1552</v>
    <v>1.1560999999999999</v>
    <v>1.1478999999999999</v>
    <v>1.1478999999999999</v>
    <v>1.1494</v>
    <v>1.1521999999999999</v>
    <v>1.1576</v>
    <v>1.1608000000000001</v>
    <v>1.1658999999999999</v>
    <v>1.1698999999999999</v>
    <v>1.1718999999999999</v>
    <v>1.1786000000000001</v>
    <v>1.1805000000000001</v>
    <v>1.1798</v>
    <v>1.1756</v>
    <v>1.1778</v>
    <v>1.1707000000000001</v>
    <v>1.1724000000000001</v>
    <v>1.1718999999999999</v>
    <v>1.17</v>
    <v>1.1689000000000001</v>
    <v>1.1662999999999999</v>
    <v>1.1598999999999999</v>
    <v>1.1634</v>
    <v>1.1595</v>
    <v>1.1625000000000001</v>
    <v>1.1695</v>
    <v>1.1753</v>
    <v>1.177</v>
    <v>1.1754</v>
    <v>1.1739999999999999</v>
    <v>1.1588000000000001</v>
    <v>1.1545000000000001</v>
    <v>1.1404000000000001</v>
    <v>1.1415</v>
    <v>1.1584000000000001</v>
    <v>1.157</v>
    <v>1.1574</v>
    <v>1.1658999999999999</v>
    <v>1.1665000000000001</v>
    <v>1.1638999999999999</v>
    <v>1.1614</v>
    <v>1.1673</v>
    <v>1.1704000000000001</v>
    <v>1.1646000000000001</v>
    <v>1.1697</v>
    <v>1.1659999999999999</v>
    <v>1.1646000000000001</v>
    <v>1.1651</v>
    <v>1.1605000000000001</v>
    <v>1.1715</v>
    <v>1.1617999999999999</v>
    <v>1.1641999999999999</v>
    <v>1.1637</v>
    <v>1.1681999999999999</v>
    <v>1.1684000000000001</v>
    <v>1.1709000000000001</v>
    <v>1.1637999999999999</v>
    <v>1.1660999999999999</v>
    <v>1.1649</v>
    <v>1.1717</v>
    <v>1.1761999999999999</v>
    <v>1.1706000000000001</v>
    <v>1.1693</v>
    <v>1.1733</v>
    <v>1.1733</v>
    <v>1.1759999999999999</v>
    <v>1.1866000000000001</v>
    <v>1.1812</v>
    <v>1.1786000000000001</v>
    <v>1.1744000000000001</v>
    <v>1.1801999999999999</v>
    <v>1.1815</v>
    <v>1.1737</v>
    <v>1.1665000000000001</v>
    <v>1.1700999999999999</v>
    <v>1.1725000000000001</v>
    <v>1.1733</v>
    <v>1.1729000000000001</v>
    <v>1.1714</v>
    <v>1.1740999999999999</v>
    <v>1.1709000000000001</v>
    <v>1.1655</v>
    <v>1.1626000000000001</v>
    <v>1.1563000000000001</v>
    <v>1.1617999999999999</v>
    <v>1.1568000000000001</v>
    <v>1.1605000000000001</v>
    <v>1.1646000000000001</v>
    <v>1.1687000000000001</v>
    <v>1.1651</v>
    <v>1.1639999999999999</v>
    <v>1.1597999999999999</v>
    <v>1.161</v>
    <v>1.1617</v>
    <v>1.1625000000000001</v>
    <v>1.1642999999999999</v>
    <v>1.165</v>
    <v>1.1598999999999999</v>
    <v>1.1565000000000001</v>
    <v>1.1534</v>
    <v>1.1517999999999999</v>
    <v>1.1482000000000001</v>
    <v>1.1491</v>
    <v>1.1547000000000001</v>
    <v>1.1565000000000001</v>
    <v>1.1556</v>
    <v>1.1579999999999999</v>
    <v>1.1592</v>
    <v>1.1631</v>
    <v>1.1619999999999999</v>
    <v>1.159</v>
    <v>1.1578999999999999</v>
    <v>1.1536</v>
    <v>1.1527000000000001</v>
    <v>1.1511</v>
    <v>1.1519999999999999</v>
    <v>1.1569</v>
    <v>1.1594</v>
    <v>1.1595</v>
    <v>1.1595</v>
    <v>1.161</v>
    <v>1.1623000000000001</v>
    <v>1.167</v>
    <v>1.1642999999999999</v>
    <v>1.1641999999999999</v>
    <v>1.1636</v>
    <v>1.1625000000000001</v>
    <v>1.1694</v>
    <v>1.1738</v>
    <v>1.1739999999999999</v>
    <v>1.1752</v>
    <v>1.1746000000000001</v>
    <v>1.1738999999999999</v>
    <v>1.1720999999999999</v>
    <v>1.1708000000000001</v>
    <v>1.1759999999999999</v>
    <v>1.1794</v>
    <v>1.1778</v>
    <v>1.1777</v>
    <v>1.1771</v>
  </a>
  <a r="1" c="359">
    <v t="i">0</v>
    <v t="i">1</v>
    <v t="i">2</v>
    <v t="i">3</v>
    <v t="i">4</v>
    <v t="i">5</v>
    <v t="i">6</v>
    <v t="i">7</v>
    <v t="i">8</v>
    <v t="i">9</v>
    <v t="i">10</v>
    <v t="i">11</v>
    <v t="i">12</v>
    <v t="i">13</v>
    <v t="i">14</v>
    <v t="i">15</v>
    <v t="i">16</v>
    <v t="i">17</v>
    <v t="i">18</v>
    <v t="i">19</v>
    <v t="i">20</v>
    <v t="i">21</v>
    <v t="i">22</v>
    <v t="i">23</v>
    <v t="i">24</v>
    <v t="i">25</v>
    <v t="i">26</v>
    <v t="i">27</v>
    <v t="i">28</v>
    <v t="i">29</v>
    <v t="i">30</v>
    <v t="i">31</v>
    <v t="i">32</v>
    <v t="i">34</v>
    <v t="i">35</v>
    <v t="i">36</v>
    <v t="i">37</v>
    <v t="i">38</v>
    <v t="i">39</v>
    <v t="i">40</v>
    <v t="i">41</v>
    <v t="i">42</v>
    <v t="i">43</v>
    <v t="i">44</v>
    <v t="i">45</v>
    <v t="i">46</v>
    <v t="i">48</v>
    <v t="i">49</v>
    <v t="i">50</v>
    <v t="i">51</v>
    <v t="i">52</v>
    <v t="i">53</v>
    <v t="i">54</v>
    <v t="i">56</v>
    <v t="i">57</v>
    <v t="i">58</v>
    <v t="i">59</v>
    <v t="i">60</v>
    <v t="i">61</v>
    <v t="i">62</v>
    <v t="i">63</v>
    <v t="i">64</v>
    <v t="i">65</v>
    <v t="i">66</v>
    <v t="i">67</v>
    <v t="i">68</v>
    <v t="i">69</v>
    <v t="i">70</v>
    <v t="i">71</v>
    <v t="i">72</v>
    <v t="i">73</v>
    <v t="i">74</v>
    <v t="i">75</v>
    <v t="i">76</v>
    <v t="i">77</v>
    <v t="i">78</v>
    <v t="i">79</v>
    <v t="i">80</v>
    <v t="i">81</v>
    <v t="i">82</v>
    <v t="i">83</v>
    <v t="i">84</v>
    <v t="i">85</v>
    <v t="i">86</v>
    <v t="i">87</v>
    <v t="i">88</v>
    <v t="i">89</v>
    <v t="i">90</v>
    <v t="i">91</v>
    <v t="i">92</v>
    <v t="i">93</v>
    <v t="i">94</v>
    <v t="i">95</v>
    <v t="i">96</v>
    <v t="i">97</v>
    <v t="i">98</v>
    <v t="i">99</v>
    <v t="i">100</v>
    <v t="i">101</v>
    <v t="i">102</v>
    <v t="i">103</v>
    <v t="i">104</v>
    <v t="i">105</v>
    <v t="i">106</v>
    <v t="i">107</v>
    <v t="i">108</v>
    <v t="i">109</v>
    <v t="i">110</v>
    <v t="i">111</v>
    <v t="i">112</v>
    <v t="i">113</v>
    <v t="i">114</v>
    <v t="i">115</v>
    <v t="i">116</v>
    <v t="i">117</v>
    <v t="i">118</v>
    <v t="i">119</v>
    <v t="i">120</v>
    <v t="i">121</v>
    <v t="i">122</v>
    <v t="i">123</v>
    <v t="i">124</v>
    <v t="i">125</v>
    <v t="i">126</v>
    <v t="i">127</v>
    <v t="i">128</v>
    <v t="i">129</v>
    <v t="i">130</v>
    <v t="i">131</v>
    <v t="i">132</v>
    <v t="i">133</v>
    <v t="i">134</v>
    <v t="i">135</v>
    <v t="i">136</v>
    <v t="i">137</v>
    <v t="i">138</v>
    <v t="i">139</v>
    <v t="i">140</v>
    <v t="i">141</v>
    <v t="i">142</v>
    <v t="i">143</v>
    <v t="i">144</v>
    <v t="i">145</v>
    <v t="i">146</v>
    <v t="i">147</v>
    <v t="i">148</v>
    <v t="i">149</v>
    <v t="i">150</v>
    <v t="i">151</v>
    <v t="i">152</v>
    <v t="i">153</v>
    <v t="i">154</v>
    <v t="i">155</v>
    <v t="i">156</v>
    <v t="i">157</v>
    <v t="i">158</v>
    <v t="i">159</v>
    <v t="i">160</v>
    <v t="i">161</v>
    <v t="i">162</v>
    <v t="i">163</v>
    <v t="i">164</v>
    <v t="i">165</v>
    <v t="i">166</v>
    <v t="i">167</v>
    <v t="i">168</v>
    <v t="i">169</v>
    <v t="i">170</v>
    <v t="i">171</v>
    <v t="i">172</v>
    <v t="i">173</v>
    <v t="i">174</v>
    <v t="i">175</v>
    <v t="i">176</v>
    <v t="i">177</v>
    <v t="i">178</v>
    <v t="i">179</v>
    <v t="i">180</v>
    <v t="i">181</v>
    <v t="i">182</v>
    <v t="i">183</v>
    <v t="i">184</v>
    <v t="i">185</v>
    <v t="i">186</v>
    <v t="i">187</v>
    <v t="i">188</v>
    <v t="i">189</v>
    <v t="i">190</v>
    <v t="i">191</v>
    <v t="i">192</v>
    <v t="i">193</v>
    <v t="i">194</v>
    <v t="i">195</v>
    <v t="i">196</v>
    <v t="i">197</v>
    <v t="i">198</v>
    <v t="i">199</v>
    <v t="i">200</v>
    <v t="i">201</v>
    <v t="i">202</v>
    <v t="i">203</v>
    <v t="i">204</v>
    <v t="i">205</v>
    <v t="i">206</v>
    <v t="i">207</v>
    <v t="i">208</v>
    <v t="i">209</v>
    <v t="i">210</v>
    <v t="i">211</v>
    <v t="i">212</v>
    <v t="i">213</v>
    <v t="i">214</v>
    <v t="i">215</v>
    <v t="i">216</v>
    <v t="i">217</v>
    <v t="i">218</v>
    <v t="i">219</v>
    <v t="i">220</v>
    <v t="i">221</v>
    <v t="i">222</v>
    <v t="i">223</v>
    <v t="i">224</v>
    <v t="i">225</v>
    <v t="i">226</v>
    <v t="i">227</v>
    <v t="i">228</v>
    <v t="i">229</v>
    <v t="i">230</v>
    <v t="i">231</v>
    <v t="i">232</v>
    <v t="i">233</v>
    <v t="i">234</v>
    <v t="i">235</v>
    <v t="i">236</v>
    <v t="i">237</v>
    <v t="i">238</v>
    <v t="i">239</v>
    <v t="i">240</v>
    <v t="i">241</v>
    <v t="i">242</v>
    <v t="i">243</v>
    <v t="i">244</v>
    <v t="i">245</v>
    <v t="i">246</v>
    <v t="i">247</v>
    <v t="i">248</v>
    <v t="i">249</v>
    <v t="i">250</v>
    <v t="i">251</v>
    <v t="i">252</v>
    <v t="i">253</v>
    <v t="i">254</v>
    <v t="i">255</v>
    <v t="i">256</v>
    <v t="i">257</v>
    <v t="i">258</v>
    <v t="i">259</v>
    <v t="i">260</v>
    <v t="i">261</v>
    <v t="i">262</v>
    <v t="i">263</v>
    <v t="i">264</v>
    <v t="i">265</v>
    <v t="i">266</v>
    <v t="i">267</v>
    <v t="i">268</v>
    <v t="i">269</v>
    <v t="i">270</v>
    <v t="i">271</v>
    <v t="i">272</v>
    <v t="i">273</v>
    <v t="i">274</v>
    <v t="i">275</v>
    <v t="i">276</v>
    <v t="i">277</v>
    <v t="i">278</v>
    <v t="i">279</v>
    <v t="i">280</v>
    <v t="i">281</v>
    <v t="i">282</v>
    <v t="i">283</v>
    <v t="i">284</v>
    <v t="i">285</v>
    <v t="i">286</v>
    <v t="i">287</v>
    <v t="i">288</v>
    <v t="i">289</v>
    <v t="i">290</v>
    <v t="i">291</v>
    <v t="i">292</v>
    <v t="i">294</v>
    <v t="i">295</v>
    <v t="i">296</v>
    <v t="i">297</v>
    <v t="i">298</v>
    <v t="i">299</v>
    <v t="i">300</v>
    <v t="i">301</v>
    <v t="i">302</v>
    <v t="i">303</v>
    <v t="i">304</v>
    <v t="i">305</v>
    <v t="i">307</v>
    <v t="i">308</v>
    <v t="i">309</v>
    <v t="i">310</v>
    <v t="i">311</v>
    <v t="i">312</v>
    <v t="i">313</v>
    <v t="i">314</v>
    <v t="i">315</v>
    <v t="i">316</v>
    <v t="i">317</v>
    <v t="i">318</v>
    <v t="i">319</v>
    <v t="i">320</v>
    <v t="i">321</v>
    <v t="i">322</v>
    <v t="i">323</v>
    <v t="i">324</v>
    <v t="i">325</v>
    <v t="i">326</v>
    <v t="i">327</v>
    <v t="i">328</v>
    <v t="i">329</v>
    <v t="i">330</v>
    <v t="i">331</v>
    <v t="i">332</v>
    <v t="i">333</v>
    <v t="i">334</v>
    <v t="i">335</v>
    <v t="i">336</v>
    <v t="i">337</v>
    <v t="i">338</v>
    <v t="i">339</v>
    <v t="i">340</v>
    <v t="i">341</v>
    <v t="i">342</v>
    <v t="i">343</v>
    <v t="i">344</v>
    <v t="i">345</v>
    <v t="i">346</v>
    <v t="i">347</v>
    <v t="i">348</v>
    <v t="i">349</v>
    <v t="i">350</v>
    <v t="i">351</v>
    <v t="i">352</v>
    <v t="i">353</v>
    <v t="i">354</v>
    <v t="i">355</v>
    <v t="i">356</v>
    <v t="i">357</v>
    <v t="i">358</v>
    <v t="i">359</v>
    <v t="i">360</v>
    <v t="i">361</v>
    <v t="i">362</v>
    <v t="i">363</v>
  </a>
  <a r="1" c="359">
    <v>91923</v>
    <v>93686.62</v>
    <v>94777</v>
    <v>97115</v>
    <v>98229.3</v>
    <v>98229.3</v>
    <v>98233.33</v>
    <v>101660.67</v>
    <v>96551.69</v>
    <v>94478.57</v>
    <v>92131.11</v>
    <v>94637.47</v>
    <v>94637.47</v>
    <v>94313.97</v>
    <v>94173.24</v>
    <v>96442.64</v>
    <v>99673.49</v>
    <v>100136.79</v>
    <v>104642.32</v>
    <v>104642.32</v>
    <v>103660.35</v>
    <v>102547.79</v>
    <v>106787.46</v>
    <v>104069.74</v>
    <v>103124.76</v>
    <v>105103.66</v>
    <v>105103.66</v>
    <v>104620.34</v>
    <v>101350.81</v>
    <v>100324.82</v>
    <v>103763.52</v>
    <v>105049.72</v>
    <v>102146.15</v>
    <v>96955.6</v>
    <v>101868.58</v>
    <v>96503.88</v>
    <v>96929.21</v>
    <v>96818.93</v>
    <v>96016.62</v>
    <v>96016.62</v>
    <v>2.3416999999999999</v>
    <v>97410</v>
    <v>96394.240000000005</v>
    <v>97683.32</v>
    <v>96507.3</v>
    <v>97501.29</v>
    <v>97173.52</v>
    <v>96439.03</v>
    <v>95038.01</v>
    <v>96317.06</v>
    <v>98136.13</v>
    <v>95355.42</v>
    <v>95355.42</v>
    <v>93978.86</v>
    <v>88680.81</v>
    <v>84454.71</v>
    <v>84294.48</v>
    <v>84252.78</v>
    <v>84252.78</v>
    <v>94284.67</v>
    <v>85290.62</v>
    <v>87516.17</v>
    <v>90406.99</v>
    <v>89475.1</v>
    <v>86273.68</v>
    <v>86206.18</v>
    <v>83080.22</v>
    <v>79277</v>
    <v>82815</v>
    <v>83142.92</v>
    <v>80350.460000000006</v>
    <v>84175.66</v>
    <v>84406.38</v>
    <v>83234.83</v>
    <v>83974.87</v>
    <v>82014.679999999993</v>
    <v>85375.679999999993</v>
    <v>84511.88</v>
    <v>84177.600000000006</v>
    <v>83942.15</v>
    <v>85152.85</v>
    <v>87896.62</v>
    <v>87895.58</v>
    <v>87273.75</v>
    <v>87305.09</v>
    <v>83793.95</v>
    <v>82506.080000000002</v>
    <v>82547.94</v>
    <v>82437.86</v>
    <v>85239.86</v>
    <v>85665.98</v>
    <v>82333.240000000005</v>
    <v>84128.75</v>
    <v>83042.600000000006</v>
    <v>78808.77</v>
    <v>78917.52</v>
    <v>77038.03</v>
    <v>83199.83</v>
    <v>79876.91</v>
    <v>83828.03</v>
    <v>85507.77</v>
    <v>83482.740000000005</v>
    <v>84881.05</v>
    <v>83996.68</v>
    <v>84297.88</v>
    <v>85141.71</v>
    <v>84491.51</v>
    <v>85200.27</v>
    <v>85083.24</v>
    <v>87334.25</v>
    <v>91158.77</v>
    <v>93681.43</v>
    <v>93494.51</v>
    <v>94965.92</v>
    <v>94145.74</v>
    <v>94312.21</v>
    <v>94515.06</v>
    <v>94879.38</v>
    <v>94584.43</v>
    <v>96479.92</v>
    <v>97065.5</v>
    <v>96352.02</v>
    <v>95730.16</v>
    <v>94255.05</v>
    <v>94708.93</v>
    <v>96769.73</v>
    <v>102631.99</v>
    <v>103190.5</v>
    <v>103174.5</v>
    <v>104301.47</v>
    <v>102685.39</v>
    <v>104611.87</v>
    <v>103574.39999999999</v>
    <v>103463.6</v>
    <v>103740.65</v>
    <v>103425.38</v>
    <v>104113.12</v>
    <v>105465.44</v>
    <v>106944.59</v>
    <v>108277.94</v>
    <v>111068.54</v>
    <v>108256.14</v>
    <v>108903.15</v>
    <v>107707.13</v>
    <v>109596.9</v>
    <v>109622.5</v>
    <v>107328.35</v>
    <v>106173.29</v>
    <v>104563.77</v>
    <v>104828.91</v>
    <v>105009.13</v>
    <v>104924.14</v>
    <v>105805.14</v>
    <v>104644.64</v>
    <v>100512.24</v>
    <v>104572.85</v>
    <v>105907.3</v>
    <v>106209.81</v>
    <v>108773.61</v>
    <v>109963.45</v>
    <v>108897.47</v>
    <v>106013.27</v>
    <v>105469.72</v>
    <v>104925.74</v>
    <v>104783.29</v>
    <v>108839.31</v>
    <v>104422.06</v>
    <v>104856.02</v>
    <v>104302.39999999999</v>
    <v>103719.88</v>
    <v>103512.58</v>
    <v>99567.51</v>
    <v>103801.08</v>
    <v>106150.33</v>
    <v>107849.4</v>
    <v>107809.32</v>
    <v>107141.4</v>
    <v>107222.54</v>
    <v>107423.8</v>
    <v>107620.53</v>
    <v>105967.11</v>
    <v>109231.15</v>
    <v>109992.92</v>
    <v>107778.97</v>
    <v>108152.36</v>
    <v>108753.94</v>
    <v>107921.74</v>
    <v>108716.34</v>
    <v>110777.61</v>
    <v>113585.9</v>
    <v>117728.9</v>
    <v>117128.74</v>
    <v>119127.63</v>
    <v>120222.27</v>
    <v>116479.19</v>
    <v>119940.88</v>
    <v>119483.37</v>
    <v>117493.28</v>
    <v>117802.16</v>
    <v>118135.65</v>
    <v>117003.73</v>
    <v>119780.85</v>
    <v>117999.63</v>
    <v>118778.45</v>
    <v>117130.84</v>
    <v>118033.16</v>
    <v>118821.31</v>
    <v>118069.01</v>
    <v>117446.51</v>
    <v>117161.65</v>
    <v>116522.83</v>
    <v>113912.54</v>
    <v>112782.45</v>
    <v>114457.95</v>
    <v>114862.8</v>
    <v>113659.97</v>
    <v>115123.57</v>
    <v>117247.76</v>
    <v>116896.3</v>
    <v>116804.85</v>
    <v>118382.63</v>
    <v>118872.07</v>
    <v>120181.98</v>
    <v>122934.67</v>
    <v>117947.72</v>
    <v>117384.44</v>
    <v>117745.41</v>
    <v>117716.16</v>
    <v>116470.16</v>
    <v>113575.59</v>
    <v>114411.42</v>
    <v>112429.1</v>
    <v>117004.03</v>
    <v>115307.14</v>
    <v>112754.61</v>
    <v>109666.81</v>
    <v>111386.67</v>
    <v>112434.47</v>
    <v>111968.63</v>
    <v>107814.56</v>
    <v>108700.02</v>
    <v>109116.21</v>
    <v>108865.31</v>
    <v>111417.87</v>
    <v>112267.11</v>
    <v>110413.59</v>
    <v>111659</v>
    <v>110174.76</v>
    <v>111351.65</v>
    <v>111986.95</v>
    <v>111499.4</v>
    <v>113624.09</v>
    <v>114425.38</v>
    <v>116234.83</v>
    <v>115950.16</v>
    <v>115854.63</v>
    <v>115412.89</v>
    <v>116911.02</v>
    <v>115647.65</v>
    <v>117594.39</v>
    <v>115418.74</v>
    <v>115855.17</v>
    <v>115431.72</v>
    <v>112861.14</v>
    <v>112036.28</v>
    <v>113603.71</v>
    <v>109222.55</v>
    <v>109387.54</v>
    <v>109485.72</v>
    <v>110893.42</v>
    <v>114354.22</v>
    <v>114638.39999999999</v>
    <v>117587.7</v>
    <v>120720.06</v>
    <v>122543.84</v>
    <v>121974.55</v>
    <v>122776.8</v>
    <v>125251.28</v>
    <v>122018.87</v>
    <v>122936.09</v>
    <v>121174.96</v>
    <v>114390.64</v>
    <v>110438.92</v>
    <v>115059.85</v>
    <v>115800.46</v>
    <v>113062.66</v>
    <v>111200.86</v>
    <v>107854.61</v>
    <v>107085.82</v>
    <v>107116.35</v>
    <v>111087.67</v>
    <v>110922.81</v>
    <v>107681.82</v>
    <v>109598.04</v>
    <v>110881.57</v>
    <v>111451.59</v>
    <v>113390.24</v>
    <v>114521.38</v>
    <v>112842.23</v>
    <v>111476.22</v>
    <v>107529.8</v>
    <v>109445.66</v>
    <v>110026.94</v>
    <v>106865.88</v>
    <v>100303.08</v>
    <v>103667.21</v>
    <v>101087.01</v>
    <v>103827.55</v>
    <v>102310.84</v>
    <v>104507.69</v>
    <v>105611.22</v>
    <v>102650.01</v>
    <v>101875.61</v>
    <v>98803.33</v>
    <v>95009.94</v>
    <v>95198.58</v>
    <v>93440.63</v>
    <v>91806.41</v>
    <v>92461.78</v>
    <v>90535.1</v>
    <v>87220.49</v>
    <v>85165.21</v>
    <v>84383.56</v>
    <v>87997.47</v>
    <v>88797</v>
    <v>87028.44</v>
    <v>90189.85</v>
    <v>91402.64</v>
    <v>90929.05</v>
    <v>91041.7</v>
    <v>91179.77</v>
    <v>86461.39</v>
    <v>91621.92</v>
    <v>93738.69</v>
    <v>92170.26</v>
    <v>89176.8</v>
    <v>89443.89</v>
    <v>90225.75</v>
    <v>91350.84</v>
    <v>92687.58</v>
    <v>92408.960000000006</v>
    <v>92909.38</v>
    <v>90217.69</v>
    <v>90180.82</v>
    <v>88465.59</v>
    <v>86230.33</v>
    <v>87787.72</v>
    <v>85983.95</v>
    <v>85603.58</v>
    <v>87803.14</v>
    <v>88193.31</v>
    <v>88159.02</v>
    <v>88252.1</v>
    <v>87667.87</v>
    <v>87646.080000000002</v>
    <v>87851.04</v>
    <v>87429.34</v>
    <v>87599.74</v>
    <v>87544.3</v>
  </a>
  <a r="1" c="359">
    <v>93792</v>
    <v>91923</v>
    <v>93700.65</v>
    <v>94777</v>
    <v>97102.1</v>
    <v>97102.1</v>
    <v>98354</v>
    <v>97707.83</v>
    <v>101653.61</v>
    <v>96454.46</v>
    <v>94474.61</v>
    <v>92114</v>
    <v>92114</v>
    <v>94925.48</v>
    <v>95118.1</v>
    <v>94210.61</v>
    <v>96482.94</v>
    <v>99690.13</v>
    <v>100126.8</v>
    <v>100126.8</v>
    <v>103833.52</v>
    <v>104999.96</v>
    <v>102522.42</v>
    <v>106769.18</v>
    <v>104056.06</v>
    <v>103048.72</v>
    <v>103048.72</v>
    <v>105094.59</v>
    <v>104926.3</v>
    <v>101415.3</v>
    <v>100321.98</v>
    <v>103772.21</v>
    <v>105064.16</v>
    <v>101203.33</v>
    <v>97062.79</v>
    <v>101900.03</v>
    <v>96474.29</v>
    <v>96899.92</v>
    <v>96821.23</v>
    <v>96821.23</v>
    <v>2.4241000000000001</v>
    <v>96101.440000000002</v>
    <v>97412.52</v>
    <v>96356.63</v>
    <v>97689.05</v>
    <v>96533.440000000002</v>
    <v>97686.52</v>
    <v>96983.4</v>
    <v>96429.84</v>
    <v>95044.08</v>
    <v>96330.9</v>
    <v>98136.92</v>
    <v>98136.92</v>
    <v>95678.5</v>
    <v>93997.17</v>
    <v>88706.67</v>
    <v>84473.919999999998</v>
    <v>84299.31</v>
    <v>84299.31</v>
    <v>86045.06</v>
    <v>94307.99</v>
    <v>85316.2</v>
    <v>87519.11</v>
    <v>90412.51</v>
    <v>90023.91</v>
    <v>86306.13</v>
    <v>86263.67</v>
    <v>83058.320000000007</v>
    <v>79298.86</v>
    <v>82829.899999999994</v>
    <v>83142</v>
    <v>80370.52</v>
    <v>84176.13</v>
    <v>84418.12</v>
    <v>83234.53</v>
    <v>83981.32</v>
    <v>82029.94</v>
    <v>85395.6</v>
    <v>84522.2</v>
    <v>84200.74</v>
    <v>83952.1</v>
    <v>85123.61</v>
    <v>87887.82</v>
    <v>87906.04</v>
    <v>87307.37</v>
    <v>87305.52</v>
    <v>83797.27</v>
    <v>82519.47</v>
    <v>82605.759999999995</v>
    <v>82439.490000000005</v>
    <v>85254.12</v>
    <v>85736.87</v>
    <v>82357.52</v>
    <v>84142.78</v>
    <v>83046.41</v>
    <v>78805.3</v>
    <v>78917.289999999994</v>
    <v>77113.279999999999</v>
    <v>83198.210000000006</v>
    <v>79909.08</v>
    <v>83819.55</v>
    <v>85505.39</v>
    <v>83449.539999999994</v>
    <v>84850.33</v>
    <v>84015.83</v>
    <v>84302.97</v>
    <v>85137.73</v>
    <v>84486.61</v>
    <v>85170.18</v>
    <v>85136.12</v>
    <v>87368.62</v>
    <v>91157.99</v>
    <v>93657.36</v>
    <v>93494.76</v>
    <v>94959.15</v>
    <v>94158.54</v>
    <v>94312.53</v>
    <v>94506.93</v>
    <v>94866.19</v>
    <v>94602</v>
    <v>96458.22</v>
    <v>97069.79</v>
    <v>96369.68</v>
    <v>95756.56</v>
    <v>94276.2</v>
    <v>94717.29</v>
    <v>96768.89</v>
    <v>102614.97</v>
    <v>103190.44</v>
    <v>103185.56</v>
    <v>104295.7</v>
    <v>102696.35</v>
    <v>104591.95</v>
    <v>103575.97</v>
    <v>103455.34</v>
    <v>103711.98</v>
    <v>103427.81</v>
    <v>104138.29</v>
    <v>105505.42</v>
    <v>106941.37</v>
    <v>108214.6</v>
    <v>111071.46</v>
    <v>108240.55</v>
    <v>108902.76</v>
    <v>107706.34</v>
    <v>109610.72</v>
    <v>109618.12</v>
    <v>107343.54</v>
    <v>106183.53</v>
    <v>104597.04</v>
    <v>104812.84</v>
    <v>105009.71</v>
    <v>104931.27</v>
    <v>105803.36</v>
    <v>104625.87</v>
    <v>100515.07</v>
    <v>104572.3</v>
    <v>105909.05</v>
    <v>106211.36</v>
    <v>108785.56</v>
    <v>109962.46</v>
    <v>108940.63</v>
    <v>105955.83</v>
    <v>105479.72</v>
    <v>104914.08</v>
    <v>104764.16</v>
    <v>108832.6</v>
    <v>104412.51</v>
    <v>104854</v>
    <v>104307.62</v>
    <v>103753.08</v>
    <v>102078.58</v>
    <v>99610.45</v>
    <v>103889.16</v>
    <v>106140.11</v>
    <v>107834.95</v>
    <v>107812.92</v>
    <v>107139.08</v>
    <v>107219.89</v>
    <v>107417.21</v>
    <v>107622.66</v>
    <v>105968.37</v>
    <v>109240.01</v>
    <v>110002.21</v>
    <v>107779.34</v>
    <v>108153.81</v>
    <v>108707.68</v>
    <v>107899.18</v>
    <v>108697.34</v>
    <v>110762.55</v>
    <v>113528.23</v>
    <v>117717.38</v>
    <v>117084.06</v>
    <v>119100.81</v>
    <v>120213.93</v>
    <v>116423.84</v>
    <v>119949.54</v>
    <v>119501.13</v>
    <v>117469.61</v>
    <v>117804.83</v>
    <v>118136.76</v>
    <v>116990.14</v>
    <v>119813.17</v>
    <v>117960.36</v>
    <v>118803.95</v>
    <v>117096.9</v>
    <v>118020.3</v>
    <v>118834.93</v>
    <v>118023.44</v>
    <v>117504.36</v>
    <v>117166.92</v>
    <v>116518.51</v>
    <v>113929.35</v>
    <v>112796.08</v>
    <v>114458</v>
    <v>114862.15</v>
    <v>113686.59</v>
    <v>115094.95</v>
    <v>117260.1</v>
    <v>116889.79</v>
    <v>116801.72</v>
    <v>118356.63</v>
    <v>118861.09</v>
    <v>120198.46</v>
    <v>122957.75</v>
    <v>117951.88</v>
    <v>117393.35</v>
    <v>117745.41</v>
    <v>117722.3</v>
    <v>116506.43</v>
    <v>113575.14</v>
    <v>114410.58</v>
    <v>112410.89</v>
    <v>117047.63</v>
    <v>115308.98</v>
    <v>112780.85</v>
    <v>109577.29</v>
    <v>111391.54</v>
    <v>112461.98</v>
    <v>111962.68</v>
    <v>107827.82</v>
    <v>108679.72</v>
    <v>109163.09</v>
    <v>108848.71</v>
    <v>111427.21</v>
    <v>112271.79</v>
    <v>110429.41</v>
    <v>111679.7</v>
    <v>110188.85</v>
    <v>111350.74</v>
    <v>111986.61</v>
    <v>111512.9</v>
    <v>113609.13</v>
    <v>114414.24</v>
    <v>116223.34</v>
    <v>115944.26</v>
    <v>115854.73</v>
    <v>115434.92</v>
    <v>116896.2</v>
    <v>115644.23</v>
    <v>117584.05</v>
    <v>115457.46</v>
    <v>115805.38</v>
    <v>115450.97</v>
    <v>112866.71</v>
    <v>112033.29</v>
    <v>113600.06</v>
    <v>109268.72</v>
    <v>109366.71</v>
    <v>109493.75999999999</v>
    <v>110858.94</v>
    <v>114356.04</v>
    <v>114640.99</v>
    <v>117584.63</v>
    <v>120691.59</v>
    <v>122490.31</v>
    <v>121966.24</v>
    <v>122765.16</v>
    <v>125268.28</v>
    <v>122022.75</v>
    <v>122888.54</v>
    <v>121157.44</v>
    <v>114588.56</v>
    <v>110409.93</v>
    <v>115079.71</v>
    <v>115889.71</v>
    <v>113064.55</v>
    <v>111199.52</v>
    <v>107892.3</v>
    <v>107087.77</v>
    <v>108958.54</v>
    <v>111135.18</v>
    <v>110833.62</v>
    <v>107696.76</v>
    <v>109492.22</v>
    <v>110905.19</v>
    <v>111461.81</v>
    <v>113362.94</v>
    <v>114486.84</v>
    <v>112754.37</v>
    <v>111473.94</v>
    <v>107502.59</v>
    <v>110429.37</v>
    <v>110031.34</v>
    <v>106868.11</v>
    <v>100256.89</v>
    <v>103671.07</v>
    <v>101062.61</v>
    <v>103848.43</v>
    <v>102318.67</v>
    <v>104502.24</v>
    <v>105624.7</v>
    <v>102623.02</v>
    <v>101889.06</v>
    <v>98789.78</v>
    <v>95013.78</v>
    <v>95224.39</v>
    <v>93428.91</v>
    <v>91817.22</v>
    <v>92456.18</v>
    <v>90559.96</v>
    <v>87241.03</v>
    <v>85151.85</v>
    <v>84413.04</v>
    <v>87996.92</v>
    <v>88802.48</v>
    <v>86983.39</v>
    <v>90199.6</v>
    <v>91413.75</v>
    <v>90942.31</v>
    <v>91041.9</v>
    <v>91188.5</v>
    <v>86471.33</v>
    <v>91621.48</v>
    <v>93715.62</v>
    <v>92182.07</v>
    <v>89208.63</v>
    <v>89458.72</v>
    <v>90161.279999999999</v>
    <v>91372.4</v>
    <v>92761.279999999999</v>
    <v>92389.38</v>
    <v>92908.68</v>
    <v>90213.52</v>
    <v>90189.3</v>
    <v>88465.84</v>
    <v>86233.52</v>
    <v>87787.11</v>
    <v>85984.9</v>
    <v>85614.42</v>
    <v>87813.7</v>
    <v>88207.58</v>
    <v>88152.639999999999</v>
    <v>88235.63</v>
    <v>87674.22</v>
    <v>87630.95</v>
    <v>87857.1</v>
    <v>87433.51</v>
    <v>87627.7</v>
  </a>
  <a r="1" c="359">
    <v>95007.72</v>
    <v>96196.45</v>
    <v>95031.14</v>
    <v>97744.01</v>
    <v>98984.55</v>
    <v>98984.55</v>
    <v>98481.4</v>
    <v>102498.95</v>
    <v>102714.45</v>
    <v>97265.85</v>
    <v>95330.47</v>
    <v>95787.41</v>
    <v>95787.41</v>
    <v>95361.72</v>
    <v>95855.45</v>
    <v>97347.18</v>
    <v>100683.32</v>
    <v>100805.52</v>
    <v>105878.27</v>
    <v>105878.27</v>
    <v>106258.54</v>
    <v>109071.86</v>
    <v>107201.71</v>
    <v>106769.18</v>
    <v>106781.49</v>
    <v>107114.53</v>
    <v>107114.53</v>
    <v>105432.46</v>
    <v>105226.44</v>
    <v>103661.44</v>
    <v>104774.26</v>
    <v>106440.13</v>
    <v>106016.94</v>
    <v>101448.31</v>
    <v>102046.86</v>
    <v>102523.41</v>
    <v>99143.81</v>
    <v>99167.41</v>
    <v>100189.08</v>
    <v>100189.08</v>
    <v>2.5057999999999998</v>
    <v>98347.49</v>
    <v>98497.52</v>
    <v>97925.73</v>
    <v>98099.34</v>
    <v>98834.63</v>
    <v>97735.51</v>
    <v>97252.66</v>
    <v>96711.82</v>
    <v>96694.56</v>
    <v>98757.23</v>
    <v>99502.96</v>
    <v>99502.96</v>
    <v>96515.9</v>
    <v>93997.17</v>
    <v>89402.34</v>
    <v>87004.86</v>
    <v>85090.09</v>
    <v>85090.09</v>
    <v>94986.44</v>
    <v>94852.56</v>
    <v>88904.15</v>
    <v>90898.64</v>
    <v>92804.67</v>
    <v>91168.62</v>
    <v>86883.05</v>
    <v>86477.1</v>
    <v>83890.27</v>
    <v>83614.899999999994</v>
    <v>84326.77</v>
    <v>84312.16</v>
    <v>85310.85</v>
    <v>84709.33</v>
    <v>84942.95</v>
    <v>84746.78</v>
    <v>84263.34</v>
    <v>85959.16</v>
    <v>87462.57</v>
    <v>84818.85</v>
    <v>84555.88</v>
    <v>85401.7</v>
    <v>88771.75</v>
    <v>88555.93</v>
    <v>88300.37</v>
    <v>87777.94</v>
    <v>87711.63</v>
    <v>84592.48</v>
    <v>83531.3</v>
    <v>83902.73</v>
    <v>85484.54</v>
    <v>88393.8</v>
    <v>85736.87</v>
    <v>84701.92</v>
    <v>84416.14</v>
    <v>83732.73</v>
    <v>81145.75</v>
    <v>80828.94</v>
    <v>83209.320000000007</v>
    <v>83548.039999999994</v>
    <v>84172.58</v>
    <v>85864.57</v>
    <v>86042.76</v>
    <v>85781.59</v>
    <v>86434.2</v>
    <v>85441.53</v>
    <v>85461.61</v>
    <v>85137.73</v>
    <v>85589.55</v>
    <v>85364.26</v>
    <v>88485.14</v>
    <v>91720.960000000006</v>
    <v>94489.919999999998</v>
    <v>93907.63</v>
    <v>95829.99</v>
    <v>95244.64</v>
    <v>95357.88</v>
    <v>95608.25</v>
    <v>95481.41</v>
    <v>95242.38</v>
    <v>97473.88</v>
    <v>97913.35</v>
    <v>97079.02</v>
    <v>96457.04</v>
    <v>95781.2</v>
    <v>95219.82</v>
    <v>97731.53</v>
    <v>102815.98</v>
    <v>104324.39</v>
    <v>104056.92</v>
    <v>104948.8</v>
    <v>105716.07</v>
    <v>104995.29</v>
    <v>104628.7</v>
    <v>104160.67</v>
    <v>104534.86</v>
    <v>103811.31</v>
    <v>105939.95</v>
    <v>107060.46</v>
    <v>107299.02</v>
    <v>109760.08</v>
    <v>111965.62</v>
    <v>111769.75</v>
    <v>109490</v>
    <v>108903.98</v>
    <v>110405.91</v>
    <v>110747.94</v>
    <v>109715.07</v>
    <v>108916.79</v>
    <v>106446.92</v>
    <v>104893.79</v>
    <v>105327.51</v>
    <v>105961.1</v>
    <v>106824.94</v>
    <v>106009.8</v>
    <v>105936.29</v>
    <v>105390.77</v>
    <v>105940.25</v>
    <v>106399.89</v>
    <v>108814.54</v>
    <v>110446.38</v>
    <v>110389.27</v>
    <v>109223.21</v>
    <v>106462.02</v>
    <v>106226.2</v>
    <v>106166.13</v>
    <v>108917.77</v>
    <v>108969.89</v>
    <v>105570.87</v>
    <v>105259.75</v>
    <v>106529.68</v>
    <v>104031.7</v>
    <v>103364.07</v>
    <v>103989.53</v>
    <v>106329.49</v>
    <v>108161.53</v>
    <v>108291.52</v>
    <v>107812.92</v>
    <v>107558.52</v>
    <v>108521.17</v>
    <v>108797.01</v>
    <v>107632.36</v>
    <v>109813.34</v>
    <v>110585.56</v>
    <v>110045.71</v>
    <v>108422.22</v>
    <v>109133.84</v>
    <v>109731.06</v>
    <v>109226.73</v>
    <v>111988.9</v>
    <v>113820.49</v>
    <v>118832</v>
    <v>118180.88</v>
    <v>119437.44</v>
    <v>123153.22</v>
    <v>120321.04</v>
    <v>119990.63</v>
    <v>120059.21</v>
    <v>120997.75999999999</v>
    <v>118538.41</v>
    <v>118857</v>
    <v>119658.14</v>
    <v>120221.91</v>
    <v>120265.89</v>
    <v>119529.16</v>
    <v>118845.78</v>
    <v>118333.98</v>
    <v>119564.74</v>
    <v>119819.52</v>
    <v>119293.44</v>
    <v>118796.26</v>
    <v>118949.06</v>
    <v>116927.73</v>
    <v>114067.16</v>
    <v>114790.09</v>
    <v>115741.69</v>
    <v>115358.85</v>
    <v>115737.55</v>
    <v>117572.21</v>
    <v>117694.32</v>
    <v>117919.91</v>
    <v>119113.42</v>
    <v>122308.25</v>
    <v>120296.3</v>
    <v>123008.91</v>
    <v>124480.82</v>
    <v>119319.13</v>
    <v>117993.26</v>
    <v>118609.78</v>
    <v>118051.11</v>
    <v>117041.04</v>
    <v>114446.27</v>
    <v>114803.67</v>
    <v>117416.17</v>
    <v>117178.9</v>
    <v>115634.88</v>
    <v>113718.75</v>
    <v>111436.14</v>
    <v>112695.62</v>
    <v>113481.24</v>
    <v>112644.94</v>
    <v>108961.86</v>
    <v>109524.96</v>
    <v>109903.64</v>
    <v>111766.01</v>
    <v>112596.97</v>
    <v>112314.52</v>
    <v>113378.69</v>
    <v>111715.3</v>
    <v>111382.35</v>
    <v>112897.91</v>
    <v>113253.87</v>
    <v>114307.05</v>
    <v>114707.81</v>
    <v>116758.47</v>
    <v>116377.86</v>
    <v>116180.65</v>
    <v>116783.12</v>
    <v>116940.44</v>
    <v>117314.17</v>
    <v>117948.43</v>
    <v>117584.05</v>
    <v>116194.87</v>
    <v>116041.72</v>
    <v>115614.34</v>
    <v>113355.07</v>
    <v>114006.32</v>
    <v>113699.89</v>
    <v>110379.57</v>
    <v>109827.09</v>
    <v>110996.28</v>
    <v>114489.1</v>
    <v>114849.43</v>
    <v>118204.39</v>
    <v>121065.51</v>
    <v>123939.18</v>
    <v>122842.7</v>
    <v>125653.32</v>
    <v>126223.18</v>
    <v>125313.38</v>
    <v>124181.81</v>
    <v>123750.51</v>
    <v>122574.46</v>
    <v>115610.64</v>
    <v>115537.44</v>
    <v>116018.68</v>
    <v>115915.44</v>
    <v>113668.33</v>
    <v>112013.4</v>
    <v>109275.7</v>
    <v>107540.15</v>
    <v>111771.78</v>
    <v>114088.76</v>
    <v>111161.92</v>
    <v>111310.2</v>
    <v>111992.42</v>
    <v>111934.5</v>
    <v>113966.42</v>
    <v>116272.47</v>
    <v>116061.89</v>
    <v>113662.84</v>
    <v>111832.05</v>
    <v>111110.56</v>
    <v>111180.54</v>
    <v>110730.91</v>
    <v>107289.83</v>
    <v>104524.68</v>
    <v>104165.87</v>
    <v>103857.01</v>
    <v>104029.75999999999</v>
    <v>105000.31</v>
    <v>106614.9</v>
    <v>107454.99</v>
    <v>105294.2</v>
    <v>104002.33</v>
    <v>100432.88</v>
    <v>96758.93</v>
    <v>96560.13</v>
    <v>95954.49</v>
    <v>93786.43</v>
    <v>93385.24</v>
    <v>93061.91</v>
    <v>88164.88</v>
    <v>85570.25</v>
    <v>88001.600000000006</v>
    <v>89214.95</v>
    <v>89082.27</v>
    <v>90386.27</v>
    <v>91887.5</v>
    <v>92965.45</v>
    <v>91212.32</v>
    <v>91949.35</v>
    <v>91330.93</v>
    <v>92321.34</v>
    <v>93965.64</v>
    <v>94082.47</v>
    <v>92699.199999999997</v>
    <v>90193.63</v>
    <v>91735.94</v>
    <v>92270.28</v>
    <v>94621.49</v>
    <v>94482.7</v>
    <v>93556.59</v>
    <v>93166.97</v>
    <v>90641.07</v>
    <v>90482.65</v>
    <v>89983.28</v>
    <v>88156.17</v>
    <v>90313.9</v>
    <v>89350.83</v>
    <v>89336.45</v>
    <v>88530.38</v>
    <v>89032.44</v>
    <v>90466.19</v>
    <v>88890.1</v>
    <v>87777.7</v>
    <v>88500.51</v>
    <v>89448.41</v>
    <v>87666.64</v>
    <v>87996.27</v>
  </a>
  <a r="1" c="359">
    <v>91262.02</v>
    <v>91794</v>
    <v>92717.04</v>
    <v>94097.07</v>
    <v>93284.25</v>
    <v>93284.25</v>
    <v>97251.53</v>
    <v>97670.720000000001</v>
    <v>96151.41</v>
    <v>92727.94</v>
    <v>91262.09</v>
    <v>91681.46</v>
    <v>91681.46</v>
    <v>93728.76</v>
    <v>89612.68</v>
    <v>94169.06</v>
    <v>96436.71</v>
    <v>97392.8</v>
    <v>99392.68</v>
    <v>99392.68</v>
    <v>103443.83</v>
    <v>99561.39</v>
    <v>100138.69</v>
    <v>103358.35</v>
    <v>101259.87</v>
    <v>102809.91</v>
    <v>102809.91</v>
    <v>104467.09</v>
    <v>97810.5</v>
    <v>100254.05</v>
    <v>100241.01</v>
    <v>103372.74</v>
    <v>101566.86</v>
    <v>96606.97</v>
    <v>91439.89</v>
    <v>96503.88</v>
    <v>96184.53</v>
    <v>95759.48</v>
    <v>95695.24</v>
    <v>95695.24</v>
    <v>2.3123</v>
    <v>94807.96</v>
    <v>94902.07</v>
    <v>94121.16</v>
    <v>95284.24</v>
    <v>96309.52</v>
    <v>96696.51</v>
    <v>95266.93</v>
    <v>93375.16</v>
    <v>94846.74</v>
    <v>96330.9</v>
    <v>94872.28</v>
    <v>94872.28</v>
    <v>93642.49</v>
    <v>86003.11</v>
    <v>82156.990000000005</v>
    <v>82543.649999999994</v>
    <v>78273.03</v>
    <v>78273.03</v>
    <v>85047.56</v>
    <v>85123.33</v>
    <v>81548.210000000006</v>
    <v>86409.91</v>
    <v>87869.82</v>
    <v>84838.57</v>
    <v>85180.160000000003</v>
    <v>82233.119999999995</v>
    <v>77411.83</v>
    <v>76666.98</v>
    <v>80661.86</v>
    <v>79948.5</v>
    <v>80288.479999999996</v>
    <v>83677.22</v>
    <v>82424.08</v>
    <v>82035.990000000005</v>
    <v>81184.42</v>
    <v>81925.429999999993</v>
    <v>83652.59</v>
    <v>83194.69</v>
    <v>83942.15</v>
    <v>83687.98</v>
    <v>84965.73</v>
    <v>86350.54</v>
    <v>85892.57</v>
    <v>85863.17</v>
    <v>83588.75</v>
    <v>81650.429999999993</v>
    <v>82065.820000000007</v>
    <v>81311.67</v>
    <v>82255.83</v>
    <v>83933.61</v>
    <v>81289.84</v>
    <v>81677.11</v>
    <v>82379.3</v>
    <v>78565.34</v>
    <v>74445.789999999994</v>
    <v>76312.98</v>
    <v>74609.119999999995</v>
    <v>78428.89</v>
    <v>78951.13</v>
    <v>82769.14</v>
    <v>83108.59</v>
    <v>83038.039999999994</v>
    <v>83821.67</v>
    <v>83113.39</v>
    <v>83753.84</v>
    <v>84323.89</v>
    <v>84356.08</v>
    <v>83975.13</v>
    <v>84668.87</v>
    <v>86965.34</v>
    <v>91086.29</v>
    <v>91702.39</v>
    <v>92896.62</v>
    <v>93946.18</v>
    <v>93681.02</v>
    <v>92877.47</v>
    <v>94259.01</v>
    <v>92956.56</v>
    <v>94041.600000000006</v>
    <v>96233.88</v>
    <v>95905.26</v>
    <v>95220.28</v>
    <v>93548.42</v>
    <v>93383.39</v>
    <v>94501.22</v>
    <v>96682.72</v>
    <v>102161.79</v>
    <v>102764.92</v>
    <v>103169.84</v>
    <v>100819.68</v>
    <v>101527.28</v>
    <v>102646.72</v>
    <v>101450.33</v>
    <v>102744.99</v>
    <v>102662.52</v>
    <v>102950.81</v>
    <v>102114.4</v>
    <v>104229.61</v>
    <v>105984.98</v>
    <v>108003.37</v>
    <v>107367.03999999999</v>
    <v>106845.95</v>
    <v>106676.59</v>
    <v>107215.79</v>
    <v>107564.63</v>
    <v>106823.41</v>
    <v>105658.88</v>
    <v>103717.19</v>
    <v>103143.02</v>
    <v>103826</v>
    <v>103739.87</v>
    <v>104642.77</v>
    <v>104266.67</v>
    <v>100432.39</v>
    <v>100494.06</v>
    <v>103998.87</v>
    <v>105069.87</v>
    <v>105401.07</v>
    <v>108403.17</v>
    <v>108445.05</v>
    <v>105816.46</v>
    <v>102811.38</v>
    <v>104405.87</v>
    <v>104666.39</v>
    <v>104558.39999999999</v>
    <v>103399.15</v>
    <v>103565.89</v>
    <v>103972.78</v>
    <v>102403.38</v>
    <v>103027.21</v>
    <v>98286.97</v>
    <v>99093.46</v>
    <v>103731.48</v>
    <v>105812.46</v>
    <v>106663.36</v>
    <v>106456.39</v>
    <v>106891.68</v>
    <v>107194.06</v>
    <v>106792.04</v>
    <v>105308.65</v>
    <v>105177.99</v>
    <v>108620.86</v>
    <v>107340.96</v>
    <v>107737.15</v>
    <v>107840.78</v>
    <v>107554.76</v>
    <v>107506.14</v>
    <v>108384.01</v>
    <v>110626.93</v>
    <v>113475.16</v>
    <v>116980.38</v>
    <v>117047.94</v>
    <v>118363.23</v>
    <v>115765.72</v>
    <v>116401.22</v>
    <v>117553.73</v>
    <v>116925.57</v>
    <v>117460.49</v>
    <v>117377.05</v>
    <v>116605.23</v>
    <v>116238.82</v>
    <v>117404.49</v>
    <v>117229.04</v>
    <v>114779.36</v>
    <v>117046.33</v>
    <v>117842.96</v>
    <v>117455.97</v>
    <v>116997.36</v>
    <v>115804.43</v>
    <v>116473.98</v>
    <v>113167.95</v>
    <v>112012.57</v>
    <v>112003.08</v>
    <v>114134.64</v>
    <v>112720.85</v>
    <v>113353.07</v>
    <v>114315.77</v>
    <v>115950.7</v>
    <v>116398.09</v>
    <v>116423.6</v>
    <v>118136.92</v>
    <v>118231.13</v>
    <v>118961.01</v>
    <v>117291.28</v>
    <v>116892.93</v>
    <v>117137.04</v>
    <v>117312.68</v>
    <v>114755.65</v>
    <v>112762.86</v>
    <v>112386.93</v>
    <v>112008.02</v>
    <v>111666.07</v>
    <v>114573.92</v>
    <v>111241.99</v>
    <v>109453.22</v>
    <v>108829.09</v>
    <v>110433.59</v>
    <v>110922.7</v>
    <v>107621.49</v>
    <v>107450.05</v>
    <v>108215.2</v>
    <v>107304.15</v>
    <v>107489.57</v>
    <v>110588.67</v>
    <v>109386.52</v>
    <v>110266.31</v>
    <v>110021.56</v>
    <v>110021.54</v>
    <v>110664.56</v>
    <v>110794</v>
    <v>110975.94</v>
    <v>113470.19</v>
    <v>114408.58</v>
    <v>115170.21</v>
    <v>115206.5</v>
    <v>114484.81</v>
    <v>114813.72</v>
    <v>114805.81</v>
    <v>115396.67</v>
    <v>115181.6</v>
    <v>115383.41</v>
    <v>115329.81</v>
    <v>112061.59</v>
    <v>111564.16</v>
    <v>111317.46</v>
    <v>108715.65</v>
    <v>108760.53</v>
    <v>109192.13</v>
    <v>109272.17</v>
    <v>110691.46</v>
    <v>112771.41</v>
    <v>113800.41</v>
    <v>117423.93</v>
    <v>119360.9</v>
    <v>121577.29</v>
    <v>121950.92</v>
    <v>122526.42</v>
    <v>120683.13</v>
    <v>121151.29</v>
    <v>119782.6</v>
    <v>113180.8</v>
    <v>104782.88</v>
    <v>109749.1</v>
    <v>113932.38</v>
    <v>110023.78</v>
    <v>110286.09</v>
    <v>107544.26</v>
    <v>103659.76</v>
    <v>106382.35</v>
    <v>107528.4</v>
    <v>107547.67</v>
    <v>107032.67</v>
    <v>106765.32</v>
    <v>109449.81</v>
    <v>110679.44</v>
    <v>111277.61</v>
    <v>112993.14</v>
    <v>112410.45</v>
    <v>109319.36</v>
    <v>106396.16</v>
    <v>107434.23</v>
    <v>109759.78</v>
    <v>105367.41</v>
    <v>98992.09</v>
    <v>98995.33</v>
    <v>100349.8</v>
    <v>99289.81</v>
    <v>101498.58</v>
    <v>101509.56</v>
    <v>104162.91</v>
    <v>102489.24</v>
    <v>100886.72</v>
    <v>97991.69</v>
    <v>94158.97</v>
    <v>94041.41</v>
    <v>93348.91</v>
    <v>91195.49</v>
    <v>89286.75</v>
    <v>88526.25</v>
    <v>86042.8</v>
    <v>80553.36</v>
    <v>83586.12</v>
    <v>84269.99</v>
    <v>85267.85</v>
    <v>86166.43</v>
    <v>86340.23</v>
    <v>90116.64</v>
    <v>90262.81</v>
    <v>90273.06</v>
    <v>90530.71</v>
    <v>83878.009999999995</v>
    <v>86231.94</v>
    <v>91059.14</v>
    <v>90979.31</v>
    <v>88216.03</v>
    <v>88952.75</v>
    <v>87777.99</v>
    <v>89091.99</v>
    <v>89581.79</v>
    <v>91653.36</v>
    <v>89323.48</v>
    <v>89535.5</v>
    <v>89830.15</v>
    <v>88404.61</v>
    <v>85264.9</v>
    <v>85379.32</v>
    <v>85347.55</v>
    <v>84453.01</v>
    <v>85139.64</v>
    <v>87800.5</v>
    <v>87618.41</v>
    <v>87914.38</v>
    <v>86635.199999999997</v>
    <v>86414.19</v>
    <v>87234.21</v>
    <v>86637.23</v>
    <v>87202.34</v>
    <v>87405.68</v>
  </a>
</arrayData>
</file>

<file path=xl/richData/rdrichvalue.xml><?xml version="1.0" encoding="utf-8"?>
<rvData xmlns="http://schemas.microsoft.com/office/spreadsheetml/2017/richdata" count="1995">
  <rv s="0">
    <v>0</v>
    <v>BTC/EUR</v>
    <v>2</v>
    <v>3</v>
    <v>Finance</v>
    <v>4</v>
    <v>en-GB</v>
    <v>bo8mpr</v>
    <v>268435456</v>
    <v>1</v>
    <v>Powered by Refinitiv</v>
    <v>107803.29549999999</v>
    <v>67538.335900000005</v>
    <v>-84.940100000000001</v>
    <v>-1.147E-3</v>
    <v>EUR</v>
    <v>BTC</v>
    <v>74150.735000000001</v>
    <v>Currency Pair</v>
    <v>46021.037314814814</v>
    <v>73894.459600000002</v>
    <v>Bitcoin/Euro FX Cross Rate</v>
    <v>74079.673800000004</v>
    <v>74079.673800000004</v>
    <v>73994.733699999997</v>
    <v>BTCEUR</v>
    <v>BTC/EUR</v>
  </rv>
  <rv s="1">
    <v>0</v>
  </rv>
  <rv s="2">
    <v>https://www.bing.com/financeapi/forcetrigger?t=r6dwra&amp;q=US10Y&amp;form=skydnc</v>
    <v>Learn more on Bing</v>
  </rv>
  <rv s="3">
    <v>5</v>
    <v>US Treasury 10Y</v>
    <v>6</v>
    <v>7</v>
    <v>Finance</v>
    <v>4</v>
    <v>en-GB</v>
    <v>r6dwra</v>
    <v>268435456</v>
    <v>1</v>
    <v>Powered by Refinitiv</v>
    <v>-5.7999999999999996E-3</v>
    <v>-1.4089999999999999E-3</v>
    <v>US</v>
    <v>USD</v>
    <v>Bond</v>
    <v>46021.034525462965</v>
    <v>2</v>
    <v>49628</v>
    <v>US Treasury 10Y</v>
    <v>4.1159999999999997</v>
    <v>4.1101999999999999</v>
    <v>US10Y</v>
    <v>US Treasury 10Y</v>
    <v>4.0170999999999998E-2</v>
    <v>4.1509999999999998E-2</v>
    <v>4.6314000000000001E-2</v>
    <v>4.1340000000000002E-2</v>
  </rv>
  <rv s="1">
    <v>3</v>
  </rv>
  <rv s="0">
    <v>0</v>
    <v>EUR/USD</v>
    <v>2</v>
    <v>8</v>
    <v>Finance</v>
    <v>4</v>
    <v>en-GB</v>
    <v>av932w</v>
    <v>268435456</v>
    <v>1</v>
    <v>Powered by Refinitiv</v>
    <v>1.1918</v>
    <v>1.0176000000000001</v>
    <v>-1E-4</v>
    <v>-8.4950000000000005E-5</v>
    <v>USD</v>
    <v>EUR</v>
    <v>1.1774</v>
    <v>Currency Pair</v>
    <v>46021.037245370368</v>
    <v>1.1767000000000001</v>
    <v>Euro/US Dollar FX Spot Rate</v>
    <v>1.1767000000000001</v>
    <v>1.1772</v>
    <v>1.1771</v>
    <v>EURUSD</v>
    <v>EUR/USD</v>
  </rv>
  <rv s="1">
    <v>5</v>
  </rv>
  <rv s="0">
    <v>0</v>
    <v>BTC/USD</v>
    <v>2</v>
    <v>8</v>
    <v>Finance</v>
    <v>4</v>
    <v>en-GB</v>
    <v>bo8l6h</v>
    <v>268435456</v>
    <v>1</v>
    <v>Powered by Refinitiv</v>
    <v>126223.18</v>
    <v>74445.789999999994</v>
    <v>-100.16</v>
    <v>-1.1479999999999999E-3</v>
    <v>USD</v>
    <v>BTC</v>
    <v>87303.66</v>
    <v>Currency Pair</v>
    <v>46021.037187499998</v>
    <v>86991.33</v>
    <v>Bitcoin/US Dollar FX Spot Rate</v>
    <v>87239.17</v>
    <v>87238.96</v>
    <v>87138.8</v>
    <v>BTCUSD</v>
    <v>BTC/USD</v>
  </rv>
  <rv s="1">
    <v>7</v>
  </rv>
  <rv s="0">
    <v>0</v>
    <v>ETH/USD</v>
    <v>2</v>
    <v>8</v>
    <v>Finance</v>
    <v>4</v>
    <v>en-GB</v>
    <v>brjcfr</v>
    <v>268435456</v>
    <v>1</v>
    <v>Powered by Refinitiv</v>
    <v>4955.1400000000003</v>
    <v>1387.02</v>
    <v>0.36</v>
    <v>1.227E-4</v>
    <v>USD</v>
    <v>ETH</v>
    <v>2941.47</v>
    <v>Currency Pair</v>
    <v>46021.037210648145</v>
    <v>2928.65</v>
    <v>Ether/US Dollar FX Spot Rate</v>
    <v>2934.45</v>
    <v>2934.65</v>
    <v>2935.01</v>
    <v>ETHUSD</v>
    <v>ETH/USD</v>
  </rv>
  <rv s="1">
    <v>9</v>
  </rv>
  <rv s="4">
    <fb>46019</fb>
    <v>9</v>
  </rv>
  <rv s="4">
    <fb>87627.7</fb>
    <v>10</v>
  </rv>
  <rv s="4">
    <fb>87996.27</fb>
    <v>10</v>
  </rv>
  <rv s="4">
    <fb>87405.68</fb>
    <v>10</v>
  </rv>
  <rv s="4">
    <fb>87544.3</fb>
    <v>10</v>
  </rv>
  <rv s="4">
    <fb>46017</fb>
    <v>9</v>
  </rv>
  <rv s="4">
    <fb>1.1771</fb>
    <v>10</v>
  </rv>
  <rv s="4">
    <fb>46018</fb>
    <v>9</v>
  </rv>
  <rv s="4">
    <fb>87433.51</fb>
    <v>10</v>
  </rv>
  <rv s="4">
    <fb>87666.64</fb>
    <v>10</v>
  </rv>
  <rv s="4">
    <fb>87202.34</fb>
    <v>10</v>
  </rv>
  <rv s="4">
    <fb>87599.74</fb>
    <v>10</v>
  </rv>
  <rv s="4">
    <fb>46016</fb>
    <v>9</v>
  </rv>
  <rv s="4">
    <fb>1.1777</fb>
    <v>10</v>
  </rv>
  <rv s="4">
    <fb>87857.1</fb>
    <v>10</v>
  </rv>
  <rv s="4">
    <fb>89448.41</fb>
    <v>10</v>
  </rv>
  <rv s="4">
    <fb>86637.23</fb>
    <v>10</v>
  </rv>
  <rv s="4">
    <fb>87429.34</fb>
    <v>10</v>
  </rv>
  <rv s="4">
    <fb>46015</fb>
    <v>9</v>
  </rv>
  <rv s="4">
    <fb>1.1778</fb>
    <v>10</v>
  </rv>
  <rv s="4">
    <fb>87630.95</fb>
    <v>10</v>
  </rv>
  <rv s="4">
    <fb>88500.51</fb>
    <v>10</v>
  </rv>
  <rv s="4">
    <fb>87234.21</fb>
    <v>10</v>
  </rv>
  <rv s="4">
    <fb>87851.04</fb>
    <v>10</v>
  </rv>
  <rv s="4">
    <fb>46014</fb>
    <v>9</v>
  </rv>
  <rv s="4">
    <fb>1.1794</fb>
    <v>10</v>
  </rv>
  <rv s="4">
    <fb>87674.22</fb>
    <v>10</v>
  </rv>
  <rv s="4">
    <fb>87777.7</fb>
    <v>10</v>
  </rv>
  <rv s="4">
    <fb>86414.19</fb>
    <v>10</v>
  </rv>
  <rv s="4">
    <fb>87646.080000000002</fb>
    <v>10</v>
  </rv>
  <rv s="4">
    <fb>46013</fb>
    <v>9</v>
  </rv>
  <rv s="4">
    <fb>1.1759999999999999</fb>
    <v>10</v>
  </rv>
  <rv s="4">
    <fb>88235.63</fb>
    <v>10</v>
  </rv>
  <rv s="4">
    <fb>88890.1</fb>
    <v>10</v>
  </rv>
  <rv s="4">
    <fb>86635.199999999997</fb>
    <v>10</v>
  </rv>
  <rv s="4">
    <fb>87667.87</fb>
    <v>10</v>
  </rv>
  <rv s="4">
    <fb>46010</fb>
    <v>9</v>
  </rv>
  <rv s="4">
    <fb>1.1708000000000001</fb>
    <v>10</v>
  </rv>
  <rv s="4">
    <fb>88152.639999999999</fb>
    <v>10</v>
  </rv>
  <rv s="4">
    <fb>90466.19</fb>
    <v>10</v>
  </rv>
  <rv s="4">
    <fb>87914.38</fb>
    <v>10</v>
  </rv>
  <rv s="4">
    <fb>88252.1</fb>
    <v>10</v>
  </rv>
  <rv s="4">
    <fb>46009</fb>
    <v>9</v>
  </rv>
  <rv s="4">
    <fb>1.1720999999999999</fb>
    <v>10</v>
  </rv>
  <rv s="4">
    <fb>46012</fb>
    <v>9</v>
  </rv>
  <rv s="4">
    <fb>88207.58</fb>
    <v>10</v>
  </rv>
  <rv s="4">
    <fb>89032.44</fb>
    <v>10</v>
  </rv>
  <rv s="4">
    <fb>87618.41</fb>
    <v>10</v>
  </rv>
  <rv s="4">
    <fb>88159.02</fb>
    <v>10</v>
  </rv>
  <rv s="4">
    <fb>46008</fb>
    <v>9</v>
  </rv>
  <rv s="4">
    <fb>1.1738999999999999</fb>
    <v>10</v>
  </rv>
  <rv s="4">
    <fb>46011</fb>
    <v>9</v>
  </rv>
  <rv s="4">
    <fb>87813.7</fb>
    <v>10</v>
  </rv>
  <rv s="4">
    <fb>88530.38</fb>
    <v>10</v>
  </rv>
  <rv s="4">
    <fb>87800.5</fb>
    <v>10</v>
  </rv>
  <rv s="4">
    <fb>88193.31</fb>
    <v>10</v>
  </rv>
  <rv s="4">
    <fb>46007</fb>
    <v>9</v>
  </rv>
  <rv s="4">
    <fb>1.1746000000000001</fb>
    <v>10</v>
  </rv>
  <rv s="4">
    <fb>85614.42</fb>
    <v>10</v>
  </rv>
  <rv s="4">
    <fb>89336.45</fb>
    <v>10</v>
  </rv>
  <rv s="4">
    <fb>85139.64</fb>
    <v>10</v>
  </rv>
  <rv s="4">
    <fb>87803.14</fb>
    <v>10</v>
  </rv>
  <rv s="4">
    <fb>46006</fb>
    <v>9</v>
  </rv>
  <rv s="4">
    <fb>1.1752</fb>
    <v>10</v>
  </rv>
  <rv s="4">
    <fb>85984.9</fb>
    <v>10</v>
  </rv>
  <rv s="4">
    <fb>89350.83</fb>
    <v>10</v>
  </rv>
  <rv s="4">
    <fb>84453.01</fb>
    <v>10</v>
  </rv>
  <rv s="4">
    <fb>85603.58</fb>
    <v>10</v>
  </rv>
  <rv s="4">
    <fb>46003</fb>
    <v>9</v>
  </rv>
  <rv s="4">
    <fb>1.1739999999999999</fb>
    <v>10</v>
  </rv>
  <rv s="4">
    <fb>87787.11</fb>
    <v>10</v>
  </rv>
  <rv s="4">
    <fb>90313.9</fb>
    <v>10</v>
  </rv>
  <rv s="4">
    <fb>85347.55</fb>
    <v>10</v>
  </rv>
  <rv s="4">
    <fb>85983.95</fb>
    <v>10</v>
  </rv>
  <rv s="4">
    <fb>46002</fb>
    <v>9</v>
  </rv>
  <rv s="4">
    <fb>1.1738</fb>
    <v>10</v>
  </rv>
  <rv s="4">
    <fb>86233.52</fb>
    <v>10</v>
  </rv>
  <rv s="4">
    <fb>88156.17</fb>
    <v>10</v>
  </rv>
  <rv s="4">
    <fb>85379.32</fb>
    <v>10</v>
  </rv>
  <rv s="4">
    <fb>87787.72</fb>
    <v>10</v>
  </rv>
  <rv s="4">
    <fb>46001</fb>
    <v>9</v>
  </rv>
  <rv s="4">
    <fb>1.1694</fb>
    <v>10</v>
  </rv>
  <rv s="4">
    <fb>88465.84</fb>
    <v>10</v>
  </rv>
  <rv s="4">
    <fb>89983.28</fb>
    <v>10</v>
  </rv>
  <rv s="4">
    <fb>85264.9</fb>
    <v>10</v>
  </rv>
  <rv s="4">
    <fb>86230.33</fb>
    <v>10</v>
  </rv>
  <rv s="4">
    <fb>46000</fb>
    <v>9</v>
  </rv>
  <rv s="4">
    <fb>1.1625000000000001</fb>
    <v>10</v>
  </rv>
  <rv s="4">
    <fb>46005</fb>
    <v>9</v>
  </rv>
  <rv s="4">
    <fb>90189.3</fb>
    <v>10</v>
  </rv>
  <rv s="4">
    <fb>90482.65</fb>
    <v>10</v>
  </rv>
  <rv s="4">
    <fb>88404.61</fb>
    <v>10</v>
  </rv>
  <rv s="4">
    <fb>88465.59</fb>
    <v>10</v>
  </rv>
  <rv s="4">
    <fb>45999</fb>
    <v>9</v>
  </rv>
  <rv s="4">
    <fb>1.1636</fb>
    <v>10</v>
  </rv>
  <rv s="4">
    <fb>46004</fb>
    <v>9</v>
  </rv>
  <rv s="4">
    <fb>90213.52</fb>
    <v>10</v>
  </rv>
  <rv s="4">
    <fb>90641.07</fb>
    <v>10</v>
  </rv>
  <rv s="4">
    <fb>89830.15</fb>
    <v>10</v>
  </rv>
  <rv s="4">
    <fb>90180.82</fb>
    <v>10</v>
  </rv>
  <rv s="4">
    <fb>45996</fb>
    <v>9</v>
  </rv>
  <rv s="4">
    <fb>1.1641999999999999</fb>
    <v>10</v>
  </rv>
  <rv s="4">
    <fb>92908.68</fb>
    <v>10</v>
  </rv>
  <rv s="4">
    <fb>93166.97</fb>
    <v>10</v>
  </rv>
  <rv s="4">
    <fb>89535.5</fb>
    <v>10</v>
  </rv>
  <rv s="4">
    <fb>90217.69</fb>
    <v>10</v>
  </rv>
  <rv s="4">
    <fb>45995</fb>
    <v>9</v>
  </rv>
  <rv s="4">
    <fb>1.1642999999999999</fb>
    <v>10</v>
  </rv>
  <rv s="4">
    <fb>92389.38</fb>
    <v>10</v>
  </rv>
  <rv s="4">
    <fb>93556.59</fb>
    <v>10</v>
  </rv>
  <rv s="4">
    <fb>89323.48</fb>
    <v>10</v>
  </rv>
  <rv s="4">
    <fb>92909.38</fb>
    <v>10</v>
  </rv>
  <rv s="4">
    <fb>45994</fb>
    <v>9</v>
  </rv>
  <rv s="4">
    <fb>1.167</fb>
    <v>10</v>
  </rv>
  <rv s="4">
    <fb>92761.279999999999</fb>
    <v>10</v>
  </rv>
  <rv s="4">
    <fb>94482.7</fb>
    <v>10</v>
  </rv>
  <rv s="4">
    <fb>91653.36</fb>
    <v>10</v>
  </rv>
  <rv s="4">
    <fb>92408.960000000006</fb>
    <v>10</v>
  </rv>
  <rv s="4">
    <fb>45993</fb>
    <v>9</v>
  </rv>
  <rv s="4">
    <fb>1.1623000000000001</fb>
    <v>10</v>
  </rv>
  <rv s="4">
    <fb>91372.4</fb>
    <v>10</v>
  </rv>
  <rv s="4">
    <fb>94621.49</fb>
    <v>10</v>
  </rv>
  <rv s="4">
    <fb>89581.79</fb>
    <v>10</v>
  </rv>
  <rv s="4">
    <fb>92687.58</fb>
    <v>10</v>
  </rv>
  <rv s="4">
    <fb>45992</fb>
    <v>9</v>
  </rv>
  <rv s="4">
    <fb>1.161</fb>
    <v>10</v>
  </rv>
  <rv s="4">
    <fb>90161.279999999999</fb>
    <v>10</v>
  </rv>
  <rv s="4">
    <fb>92270.28</fb>
    <v>10</v>
  </rv>
  <rv s="4">
    <fb>89091.99</fb>
    <v>10</v>
  </rv>
  <rv s="4">
    <fb>91350.84</fb>
    <v>10</v>
  </rv>
  <rv s="4">
    <fb>45989</fb>
    <v>9</v>
  </rv>
  <rv s="4">
    <fb>1.1595</fb>
    <v>10</v>
  </rv>
  <rv s="4">
    <fb>45998</fb>
    <v>9</v>
  </rv>
  <rv s="4">
    <fb>89458.72</fb>
    <v>10</v>
  </rv>
  <rv s="4">
    <fb>91735.94</fb>
    <v>10</v>
  </rv>
  <rv s="4">
    <fb>87777.99</fb>
    <v>10</v>
  </rv>
  <rv s="4">
    <fb>90225.75</fb>
    <v>10</v>
  </rv>
  <rv s="4">
    <fb>45988</fb>
    <v>9</v>
  </rv>
  <rv s="4">
    <fb>45997</fb>
    <v>9</v>
  </rv>
  <rv s="4">
    <fb>89208.63</fb>
    <v>10</v>
  </rv>
  <rv s="4">
    <fb>90193.63</fb>
    <v>10</v>
  </rv>
  <rv s="4">
    <fb>88952.75</fb>
    <v>10</v>
  </rv>
  <rv s="4">
    <fb>89443.89</fb>
    <v>10</v>
  </rv>
  <rv s="4">
    <fb>45987</fb>
    <v>9</v>
  </rv>
  <rv s="4">
    <fb>1.1594</fb>
    <v>10</v>
  </rv>
  <rv s="4">
    <fb>92182.07</fb>
    <v>10</v>
  </rv>
  <rv s="4">
    <fb>92699.199999999997</fb>
    <v>10</v>
  </rv>
  <rv s="4">
    <fb>88216.03</fb>
    <v>10</v>
  </rv>
  <rv s="4">
    <fb>89176.8</fb>
    <v>10</v>
  </rv>
  <rv s="4">
    <fb>45986</fb>
    <v>9</v>
  </rv>
  <rv s="4">
    <fb>1.1569</fb>
    <v>10</v>
  </rv>
  <rv s="4">
    <fb>93715.62</fb>
    <v>10</v>
  </rv>
  <rv s="4">
    <fb>94082.47</fb>
    <v>10</v>
  </rv>
  <rv s="4">
    <fb>90979.31</fb>
    <v>10</v>
  </rv>
  <rv s="4">
    <fb>92170.26</fb>
    <v>10</v>
  </rv>
  <rv s="4">
    <fb>45985</fb>
    <v>9</v>
  </rv>
  <rv s="4">
    <fb>1.1519999999999999</fb>
    <v>10</v>
  </rv>
  <rv s="4">
    <fb>91621.48</fb>
    <v>10</v>
  </rv>
  <rv s="4">
    <fb>93965.64</fb>
    <v>10</v>
  </rv>
  <rv s="4">
    <fb>91059.14</fb>
    <v>10</v>
  </rv>
  <rv s="4">
    <fb>93738.69</fb>
    <v>10</v>
  </rv>
  <rv s="4">
    <fb>45982</fb>
    <v>9</v>
  </rv>
  <rv s="4">
    <fb>1.1511</fb>
    <v>10</v>
  </rv>
  <rv s="4">
    <fb>86471.33</fb>
    <v>10</v>
  </rv>
  <rv s="4">
    <fb>92321.34</fb>
    <v>10</v>
  </rv>
  <rv s="4">
    <fb>86231.94</fb>
    <v>10</v>
  </rv>
  <rv s="4">
    <fb>91621.92</fb>
    <v>10</v>
  </rv>
  <rv s="4">
    <fb>45981</fb>
    <v>9</v>
  </rv>
  <rv s="4">
    <fb>1.1527000000000001</fb>
    <v>10</v>
  </rv>
  <rv s="4">
    <fb>91188.5</fb>
    <v>10</v>
  </rv>
  <rv s="4">
    <fb>91330.93</fb>
    <v>10</v>
  </rv>
  <rv s="4">
    <fb>83878.009999999995</fb>
    <v>10</v>
  </rv>
  <rv s="4">
    <fb>86461.39</fb>
    <v>10</v>
  </rv>
  <rv s="4">
    <fb>45980</fb>
    <v>9</v>
  </rv>
  <rv s="4">
    <fb>1.1536</fb>
    <v>10</v>
  </rv>
  <rv s="4">
    <fb>45991</fb>
    <v>9</v>
  </rv>
  <rv s="4">
    <fb>91041.9</fb>
    <v>10</v>
  </rv>
  <rv s="4">
    <fb>91949.35</fb>
    <v>10</v>
  </rv>
  <rv s="4">
    <fb>90530.71</fb>
    <v>10</v>
  </rv>
  <rv s="4">
    <fb>91179.77</fb>
    <v>10</v>
  </rv>
  <rv s="4">
    <fb>45979</fb>
    <v>9</v>
  </rv>
  <rv s="4">
    <fb>1.1578999999999999</fb>
    <v>10</v>
  </rv>
  <rv s="4">
    <fb>45990</fb>
    <v>9</v>
  </rv>
  <rv s="4">
    <fb>90942.31</fb>
    <v>10</v>
  </rv>
  <rv s="4">
    <fb>91212.32</fb>
    <v>10</v>
  </rv>
  <rv s="4">
    <fb>90273.06</fb>
    <v>10</v>
  </rv>
  <rv s="4">
    <fb>91041.7</fb>
    <v>10</v>
  </rv>
  <rv s="4">
    <fb>45978</fb>
    <v>9</v>
  </rv>
  <rv s="4">
    <fb>1.159</fb>
    <v>10</v>
  </rv>
  <rv s="4">
    <fb>91413.75</fb>
    <v>10</v>
  </rv>
  <rv s="4">
    <fb>92965.45</fb>
    <v>10</v>
  </rv>
  <rv s="4">
    <fb>90262.81</fb>
    <v>10</v>
  </rv>
  <rv s="4">
    <fb>90929.05</fb>
    <v>10</v>
  </rv>
  <rv s="4">
    <fb>45975</fb>
    <v>9</v>
  </rv>
  <rv s="4">
    <fb>1.1619999999999999</fb>
    <v>10</v>
  </rv>
  <rv s="4">
    <fb>90199.6</fb>
    <v>10</v>
  </rv>
  <rv s="4">
    <fb>91887.5</fb>
    <v>10</v>
  </rv>
  <rv s="4">
    <fb>90116.64</fb>
    <v>10</v>
  </rv>
  <rv s="4">
    <fb>91402.64</fb>
    <v>10</v>
  </rv>
  <rv s="4">
    <fb>45974</fb>
    <v>9</v>
  </rv>
  <rv s="4">
    <fb>1.1631</fb>
    <v>10</v>
  </rv>
  <rv s="4">
    <fb>86983.39</fb>
    <v>10</v>
  </rv>
  <rv s="4">
    <fb>90386.27</fb>
    <v>10</v>
  </rv>
  <rv s="4">
    <fb>86340.23</fb>
    <v>10</v>
  </rv>
  <rv s="4">
    <fb>90189.85</fb>
    <v>10</v>
  </rv>
  <rv s="4">
    <fb>45973</fb>
    <v>9</v>
  </rv>
  <rv s="4">
    <fb>1.1592</fb>
    <v>10</v>
  </rv>
  <rv s="4">
    <fb>88802.48</fb>
    <v>10</v>
  </rv>
  <rv s="4">
    <fb>89082.27</fb>
    <v>10</v>
  </rv>
  <rv s="4">
    <fb>86166.43</fb>
    <v>10</v>
  </rv>
  <rv s="4">
    <fb>87028.44</fb>
    <v>10</v>
  </rv>
  <rv s="4">
    <fb>45972</fb>
    <v>9</v>
  </rv>
  <rv s="4">
    <fb>1.1579999999999999</fb>
    <v>10</v>
  </rv>
  <rv s="4">
    <fb>87996.92</fb>
    <v>10</v>
  </rv>
  <rv s="4">
    <fb>89214.95</fb>
    <v>10</v>
  </rv>
  <rv s="4">
    <fb>85267.85</fb>
    <v>10</v>
  </rv>
  <rv s="4">
    <fb>88797</fb>
    <v>10</v>
  </rv>
  <rv s="4">
    <fb>45971</fb>
    <v>9</v>
  </rv>
  <rv s="4">
    <fb>1.1556</fb>
    <v>10</v>
  </rv>
  <rv s="4">
    <fb>45984</fb>
    <v>9</v>
  </rv>
  <rv s="4">
    <fb>84413.04</fb>
    <v>10</v>
  </rv>
  <rv s="4">
    <fb>88001.600000000006</fb>
    <v>10</v>
  </rv>
  <rv s="4">
    <fb>84269.99</fb>
    <v>10</v>
  </rv>
  <rv s="4">
    <fb>87997.47</fb>
    <v>10</v>
  </rv>
  <rv s="4">
    <fb>45968</fb>
    <v>9</v>
  </rv>
  <rv s="4">
    <fb>1.1565000000000001</fb>
    <v>10</v>
  </rv>
  <rv s="4">
    <fb>45983</fb>
    <v>9</v>
  </rv>
  <rv s="4">
    <fb>85151.85</fb>
    <v>10</v>
  </rv>
  <rv s="4">
    <fb>85570.25</fb>
    <v>10</v>
  </rv>
  <rv s="4">
    <fb>83586.12</fb>
    <v>10</v>
  </rv>
  <rv s="4">
    <fb>84383.56</fb>
    <v>10</v>
  </rv>
  <rv s="4">
    <fb>45967</fb>
    <v>9</v>
  </rv>
  <rv s="4">
    <fb>1.1547000000000001</fb>
    <v>10</v>
  </rv>
  <rv s="4">
    <fb>87241.03</fb>
    <v>10</v>
  </rv>
  <rv s="4">
    <fb>88164.88</fb>
    <v>10</v>
  </rv>
  <rv s="4">
    <fb>80553.36</fb>
    <v>10</v>
  </rv>
  <rv s="4">
    <fb>85165.21</fb>
    <v>10</v>
  </rv>
  <rv s="4">
    <fb>45966</fb>
    <v>9</v>
  </rv>
  <rv s="4">
    <fb>1.1491</fb>
    <v>10</v>
  </rv>
  <rv s="4">
    <fb>90559.96</fb>
    <v>10</v>
  </rv>
  <rv s="4">
    <fb>93061.91</fb>
    <v>10</v>
  </rv>
  <rv s="4">
    <fb>86042.8</fb>
    <v>10</v>
  </rv>
  <rv s="4">
    <fb>87220.49</fb>
    <v>10</v>
  </rv>
  <rv s="4">
    <fb>45965</fb>
    <v>9</v>
  </rv>
  <rv s="4">
    <fb>1.1482000000000001</fb>
    <v>10</v>
  </rv>
  <rv s="4">
    <fb>92456.18</fb>
    <v>10</v>
  </rv>
  <rv s="4">
    <fb>93385.24</fb>
    <v>10</v>
  </rv>
  <rv s="4">
    <fb>88526.25</fb>
    <v>10</v>
  </rv>
  <rv s="4">
    <fb>90535.1</fb>
    <v>10</v>
  </rv>
  <rv s="4">
    <fb>45964</fb>
    <v>9</v>
  </rv>
  <rv s="4">
    <fb>1.1517999999999999</fb>
    <v>10</v>
  </rv>
  <rv s="4">
    <fb>91817.22</fb>
    <v>10</v>
  </rv>
  <rv s="4">
    <fb>93786.43</fb>
    <v>10</v>
  </rv>
  <rv s="4">
    <fb>89286.75</fb>
    <v>10</v>
  </rv>
  <rv s="4">
    <fb>92461.78</fb>
    <v>10</v>
  </rv>
  <rv s="4">
    <fb>45961</fb>
    <v>9</v>
  </rv>
  <rv s="4">
    <fb>1.1534</fb>
    <v>10</v>
  </rv>
  <rv s="4">
    <fb>93428.91</fb>
    <v>10</v>
  </rv>
  <rv s="4">
    <fb>95954.49</fb>
    <v>10</v>
  </rv>
  <rv s="4">
    <fb>91195.49</fb>
    <v>10</v>
  </rv>
  <rv s="4">
    <fb>91806.41</fb>
    <v>10</v>
  </rv>
  <rv s="4">
    <fb>45960</fb>
    <v>9</v>
  </rv>
  <rv s="4">
    <fb>45977</fb>
    <v>9</v>
  </rv>
  <rv s="4">
    <fb>95224.39</fb>
    <v>10</v>
  </rv>
  <rv s="4">
    <fb>96560.13</fb>
    <v>10</v>
  </rv>
  <rv s="4">
    <fb>93348.91</fb>
    <v>10</v>
  </rv>
  <rv s="4">
    <fb>93440.63</fb>
    <v>10</v>
  </rv>
  <rv s="4">
    <fb>45959</fb>
    <v>9</v>
  </rv>
  <rv s="4">
    <fb>1.1598999999999999</fb>
    <v>10</v>
  </rv>
  <rv s="4">
    <fb>45976</fb>
    <v>9</v>
  </rv>
  <rv s="4">
    <fb>95013.78</fb>
    <v>10</v>
  </rv>
  <rv s="4">
    <fb>96758.93</fb>
    <v>10</v>
  </rv>
  <rv s="4">
    <fb>94041.41</fb>
    <v>10</v>
  </rv>
  <rv s="4">
    <fb>95198.58</fb>
    <v>10</v>
  </rv>
  <rv s="4">
    <fb>45958</fb>
    <v>9</v>
  </rv>
  <rv s="4">
    <fb>1.165</fb>
    <v>10</v>
  </rv>
  <rv s="4">
    <fb>98789.78</fb>
    <v>10</v>
  </rv>
  <rv s="4">
    <fb>100432.88</fb>
    <v>10</v>
  </rv>
  <rv s="4">
    <fb>94158.97</fb>
    <v>10</v>
  </rv>
  <rv s="4">
    <fb>95009.94</fb>
    <v>10</v>
  </rv>
  <rv s="4">
    <fb>45957</fb>
    <v>9</v>
  </rv>
  <rv s="4">
    <fb>101889.06</fb>
    <v>10</v>
  </rv>
  <rv s="4">
    <fb>104002.33</fb>
    <v>10</v>
  </rv>
  <rv s="4">
    <fb>97991.69</fb>
    <v>10</v>
  </rv>
  <rv s="4">
    <fb>98803.33</fb>
    <v>10</v>
  </rv>
  <rv s="4">
    <fb>45954</fb>
    <v>9</v>
  </rv>
  <rv s="4">
    <fb>102623.02</fb>
    <v>10</v>
  </rv>
  <rv s="4">
    <fb>105294.2</fb>
    <v>10</v>
  </rv>
  <rv s="4">
    <fb>100886.72</fb>
    <v>10</v>
  </rv>
  <rv s="4">
    <fb>101875.61</fb>
    <v>10</v>
  </rv>
  <rv s="4">
    <fb>45953</fb>
    <v>9</v>
  </rv>
  <rv s="4">
    <fb>1.1617</fb>
    <v>10</v>
  </rv>
  <rv s="4">
    <fb>105624.7</fb>
    <v>10</v>
  </rv>
  <rv s="4">
    <fb>107454.99</fb>
    <v>10</v>
  </rv>
  <rv s="4">
    <fb>102489.24</fb>
    <v>10</v>
  </rv>
  <rv s="4">
    <fb>102650.01</fb>
    <v>10</v>
  </rv>
  <rv s="4">
    <fb>45952</fb>
    <v>9</v>
  </rv>
  <rv s="4">
    <fb>104502.24</fb>
    <v>10</v>
  </rv>
  <rv s="4">
    <fb>106614.9</fb>
    <v>10</v>
  </rv>
  <rv s="4">
    <fb>104162.91</fb>
    <v>10</v>
  </rv>
  <rv s="4">
    <fb>105611.22</fb>
    <v>10</v>
  </rv>
  <rv s="4">
    <fb>45951</fb>
    <v>9</v>
  </rv>
  <rv s="4">
    <fb>1.1597999999999999</fb>
    <v>10</v>
  </rv>
  <rv s="4">
    <fb>45970</fb>
    <v>9</v>
  </rv>
  <rv s="4">
    <fb>102318.67</fb>
    <v>10</v>
  </rv>
  <rv s="4">
    <fb>105000.31</fb>
    <v>10</v>
  </rv>
  <rv s="4">
    <fb>101509.56</fb>
    <v>10</v>
  </rv>
  <rv s="4">
    <fb>104507.69</fb>
    <v>10</v>
  </rv>
  <rv s="4">
    <fb>45950</fb>
    <v>9</v>
  </rv>
  <rv s="4">
    <fb>1.1639999999999999</fb>
    <v>10</v>
  </rv>
  <rv s="4">
    <fb>45969</fb>
    <v>9</v>
  </rv>
  <rv s="4">
    <fb>103848.43</fb>
    <v>10</v>
  </rv>
  <rv s="4">
    <fb>104029.75999999999</fb>
    <v>10</v>
  </rv>
  <rv s="4">
    <fb>101498.58</fb>
    <v>10</v>
  </rv>
  <rv s="4">
    <fb>102310.84</fb>
    <v>10</v>
  </rv>
  <rv s="4">
    <fb>45947</fb>
    <v>9</v>
  </rv>
  <rv s="4">
    <fb>1.1651</fb>
    <v>10</v>
  </rv>
  <rv s="4">
    <fb>101062.61</fb>
    <v>10</v>
  </rv>
  <rv s="4">
    <fb>103857.01</fb>
    <v>10</v>
  </rv>
  <rv s="4">
    <fb>99289.81</fb>
    <v>10</v>
  </rv>
  <rv s="4">
    <fb>103827.55</fb>
    <v>10</v>
  </rv>
  <rv s="4">
    <fb>45946</fb>
    <v>9</v>
  </rv>
  <rv s="4">
    <fb>1.1687000000000001</fb>
    <v>10</v>
  </rv>
  <rv s="4">
    <fb>103671.07</fb>
    <v>10</v>
  </rv>
  <rv s="4">
    <fb>104165.87</fb>
    <v>10</v>
  </rv>
  <rv s="4">
    <fb>100349.8</fb>
    <v>10</v>
  </rv>
  <rv s="4">
    <fb>101087.01</fb>
    <v>10</v>
  </rv>
  <rv s="4">
    <fb>45945</fb>
    <v>9</v>
  </rv>
  <rv s="4">
    <fb>1.1646000000000001</fb>
    <v>10</v>
  </rv>
  <rv s="4">
    <fb>100256.89</fb>
    <v>10</v>
  </rv>
  <rv s="4">
    <fb>104524.68</fb>
    <v>10</v>
  </rv>
  <rv s="4">
    <fb>98995.33</fb>
    <v>10</v>
  </rv>
  <rv s="4">
    <fb>103667.21</fb>
    <v>10</v>
  </rv>
  <rv s="4">
    <fb>45944</fb>
    <v>9</v>
  </rv>
  <rv s="4">
    <fb>1.1605000000000001</fb>
    <v>10</v>
  </rv>
  <rv s="4">
    <fb>106868.11</fb>
    <v>10</v>
  </rv>
  <rv s="4">
    <fb>107289.83</fb>
    <v>10</v>
  </rv>
  <rv s="4">
    <fb>98992.09</fb>
    <v>10</v>
  </rv>
  <rv s="4">
    <fb>100303.08</fb>
    <v>10</v>
  </rv>
  <rv s="4">
    <fb>45943</fb>
    <v>9</v>
  </rv>
  <rv s="4">
    <fb>1.1568000000000001</fb>
    <v>10</v>
  </rv>
  <rv s="4">
    <fb>110031.34</fb>
    <v>10</v>
  </rv>
  <rv s="4">
    <fb>110730.91</fb>
    <v>10</v>
  </rv>
  <rv s="4">
    <fb>105367.41</fb>
    <v>10</v>
  </rv>
  <rv s="4">
    <fb>106865.88</fb>
    <v>10</v>
  </rv>
  <rv s="4">
    <fb>45940</fb>
    <v>9</v>
  </rv>
  <rv s="4">
    <fb>1.1617999999999999</fb>
    <v>10</v>
  </rv>
  <rv s="4">
    <fb>45963</fb>
    <v>9</v>
  </rv>
  <rv s="4">
    <fb>110429.37</fb>
    <v>10</v>
  </rv>
  <rv s="4">
    <fb>111180.54</fb>
    <v>10</v>
  </rv>
  <rv s="4">
    <fb>109759.78</fb>
    <v>10</v>
  </rv>
  <rv s="4">
    <fb>110026.94</fb>
    <v>10</v>
  </rv>
  <rv s="4">
    <fb>45939</fb>
    <v>9</v>
  </rv>
  <rv s="4">
    <fb>1.1563000000000001</fb>
    <v>10</v>
  </rv>
  <rv s="4">
    <fb>107502.59</fb>
    <v>10</v>
  </rv>
  <rv s="4">
    <fb>111110.56</fb>
    <v>10</v>
  </rv>
  <rv s="4">
    <fb>107434.23</fb>
    <v>10</v>
  </rv>
  <rv s="4">
    <fb>109445.66</fb>
    <v>10</v>
  </rv>
  <rv s="4">
    <fb>45938</fb>
    <v>9</v>
  </rv>
  <rv s="4">
    <fb>1.1626000000000001</fb>
    <v>10</v>
  </rv>
  <rv s="4">
    <fb>111473.94</fb>
    <v>10</v>
  </rv>
  <rv s="4">
    <fb>111832.05</fb>
    <v>10</v>
  </rv>
  <rv s="4">
    <fb>106396.16</fb>
    <v>10</v>
  </rv>
  <rv s="4">
    <fb>107529.8</fb>
    <v>10</v>
  </rv>
  <rv s="4">
    <fb>45937</fb>
    <v>9</v>
  </rv>
  <rv s="4">
    <fb>1.1655</fb>
    <v>10</v>
  </rv>
  <rv s="4">
    <fb>112754.37</fb>
    <v>10</v>
  </rv>
  <rv s="4">
    <fb>113662.84</fb>
    <v>10</v>
  </rv>
  <rv s="4">
    <fb>109319.36</fb>
    <v>10</v>
  </rv>
  <rv s="4">
    <fb>111476.22</fb>
    <v>10</v>
  </rv>
  <rv s="4">
    <fb>45936</fb>
    <v>9</v>
  </rv>
  <rv s="4">
    <fb>1.1709000000000001</fb>
    <v>10</v>
  </rv>
  <rv s="4">
    <fb>114486.84</fb>
    <v>10</v>
  </rv>
  <rv s="4">
    <fb>116061.89</fb>
    <v>10</v>
  </rv>
  <rv s="4">
    <fb>112410.45</fb>
    <v>10</v>
  </rv>
  <rv s="4">
    <fb>112842.23</fb>
    <v>10</v>
  </rv>
  <rv s="4">
    <fb>45933</fb>
    <v>9</v>
  </rv>
  <rv s="4">
    <fb>1.1740999999999999</fb>
    <v>10</v>
  </rv>
  <rv s="4">
    <fb>113362.94</fb>
    <v>10</v>
  </rv>
  <rv s="4">
    <fb>116272.47</fb>
    <v>10</v>
  </rv>
  <rv s="4">
    <fb>112993.14</fb>
    <v>10</v>
  </rv>
  <rv s="4">
    <fb>114521.38</fb>
    <v>10</v>
  </rv>
  <rv s="4">
    <fb>45932</fb>
    <v>9</v>
  </rv>
  <rv s="4">
    <fb>1.1714</fb>
    <v>10</v>
  </rv>
  <rv s="4">
    <fb>45956</fb>
    <v>9</v>
  </rv>
  <rv s="4">
    <fb>111461.81</fb>
    <v>10</v>
  </rv>
  <rv s="4">
    <fb>113966.42</fb>
    <v>10</v>
  </rv>
  <rv s="4">
    <fb>111277.61</fb>
    <v>10</v>
  </rv>
  <rv s="4">
    <fb>113390.24</fb>
    <v>10</v>
  </rv>
  <rv s="4">
    <fb>45931</fb>
    <v>9</v>
  </rv>
  <rv s="4">
    <fb>1.1729000000000001</fb>
    <v>10</v>
  </rv>
  <rv s="4">
    <fb>45955</fb>
    <v>9</v>
  </rv>
  <rv s="4">
    <fb>110905.19</fb>
    <v>10</v>
  </rv>
  <rv s="4">
    <fb>111934.5</fb>
    <v>10</v>
  </rv>
  <rv s="4">
    <fb>110679.44</fb>
    <v>10</v>
  </rv>
  <rv s="4">
    <fb>111451.59</fb>
    <v>10</v>
  </rv>
  <rv s="4">
    <fb>45930</fb>
    <v>9</v>
  </rv>
  <rv s="4">
    <fb>1.1733</fb>
    <v>10</v>
  </rv>
  <rv s="4">
    <fb>109492.22</fb>
    <v>10</v>
  </rv>
  <rv s="4">
    <fb>111992.42</fb>
    <v>10</v>
  </rv>
  <rv s="4">
    <fb>109449.81</fb>
    <v>10</v>
  </rv>
  <rv s="4">
    <fb>110881.57</fb>
    <v>10</v>
  </rv>
  <rv s="4">
    <fb>45929</fb>
    <v>9</v>
  </rv>
  <rv s="4">
    <fb>1.1725000000000001</fb>
    <v>10</v>
  </rv>
  <rv s="4">
    <fb>107696.76</fb>
    <v>10</v>
  </rv>
  <rv s="4">
    <fb>111310.2</fb>
    <v>10</v>
  </rv>
  <rv s="4">
    <fb>106765.32</fb>
    <v>10</v>
  </rv>
  <rv s="4">
    <fb>109598.04</fb>
    <v>10</v>
  </rv>
  <rv s="4">
    <fb>45926</fb>
    <v>9</v>
  </rv>
  <rv s="4">
    <fb>1.1700999999999999</fb>
    <v>10</v>
  </rv>
  <rv s="4">
    <fb>110833.62</fb>
    <v>10</v>
  </rv>
  <rv s="4">
    <fb>111161.92</fb>
    <v>10</v>
  </rv>
  <rv s="4">
    <fb>107032.67</fb>
    <v>10</v>
  </rv>
  <rv s="4">
    <fb>107681.82</fb>
    <v>10</v>
  </rv>
  <rv s="4">
    <fb>45925</fb>
    <v>9</v>
  </rv>
  <rv s="4">
    <fb>1.1665000000000001</fb>
    <v>10</v>
  </rv>
  <rv s="4">
    <fb>111135.18</fb>
    <v>10</v>
  </rv>
  <rv s="4">
    <fb>114088.76</fb>
    <v>10</v>
  </rv>
  <rv s="4">
    <fb>107547.67</fb>
    <v>10</v>
  </rv>
  <rv s="4">
    <fb>110922.81</fb>
    <v>10</v>
  </rv>
  <rv s="4">
    <fb>45924</fb>
    <v>9</v>
  </rv>
  <rv s="4">
    <fb>1.1737</fb>
    <v>10</v>
  </rv>
  <rv s="4">
    <fb>108958.54</fb>
    <v>10</v>
  </rv>
  <rv s="4">
    <fb>111771.78</fb>
    <v>10</v>
  </rv>
  <rv s="4">
    <fb>107528.4</fb>
    <v>10</v>
  </rv>
  <rv s="4">
    <fb>111087.67</fb>
    <v>10</v>
  </rv>
  <rv s="4">
    <fb>45923</fb>
    <v>9</v>
  </rv>
  <rv s="4">
    <fb>1.1815</fb>
    <v>10</v>
  </rv>
  <rv s="4">
    <fb>45948</fb>
    <v>9</v>
  </rv>
  <rv s="4">
    <fb>107087.77</fb>
    <v>10</v>
  </rv>
  <rv s="4">
    <fb>107540.15</fb>
    <v>10</v>
  </rv>
  <rv s="4">
    <fb>106382.35</fb>
    <v>10</v>
  </rv>
  <rv s="4">
    <fb>107116.35</fb>
    <v>10</v>
  </rv>
  <rv s="4">
    <fb>45922</fb>
    <v>9</v>
  </rv>
  <rv s="4">
    <fb>1.1801999999999999</fb>
    <v>10</v>
  </rv>
  <rv s="4">
    <fb>107892.3</fb>
    <v>10</v>
  </rv>
  <rv s="4">
    <fb>109275.7</fb>
    <v>10</v>
  </rv>
  <rv s="4">
    <fb>103659.76</fb>
    <v>10</v>
  </rv>
  <rv s="4">
    <fb>107085.82</fb>
    <v>10</v>
  </rv>
  <rv s="4">
    <fb>45919</fb>
    <v>9</v>
  </rv>
  <rv s="4">
    <fb>1.1744000000000001</fb>
    <v>10</v>
  </rv>
  <rv s="4">
    <fb>111199.52</fb>
    <v>10</v>
  </rv>
  <rv s="4">
    <fb>112013.4</fb>
    <v>10</v>
  </rv>
  <rv s="4">
    <fb>107544.26</fb>
    <v>10</v>
  </rv>
  <rv s="4">
    <fb>107854.61</fb>
    <v>10</v>
  </rv>
  <rv s="4">
    <fb>45918</fb>
    <v>9</v>
  </rv>
  <rv s="4">
    <fb>1.1786000000000001</fb>
    <v>10</v>
  </rv>
  <rv s="4">
    <fb>113064.55</fb>
    <v>10</v>
  </rv>
  <rv s="4">
    <fb>113668.33</fb>
    <v>10</v>
  </rv>
  <rv s="4">
    <fb>110286.09</fb>
    <v>10</v>
  </rv>
  <rv s="4">
    <fb>111200.86</fb>
    <v>10</v>
  </rv>
  <rv s="4">
    <fb>45917</fb>
    <v>9</v>
  </rv>
  <rv s="4">
    <fb>1.1812</fb>
    <v>10</v>
  </rv>
  <rv s="4">
    <fb>115889.71</fb>
    <v>10</v>
  </rv>
  <rv s="4">
    <fb>115915.44</fb>
    <v>10</v>
  </rv>
  <rv s="4">
    <fb>110023.78</fb>
    <v>10</v>
  </rv>
  <rv s="4">
    <fb>113062.66</fb>
    <v>10</v>
  </rv>
  <rv s="4">
    <fb>45916</fb>
    <v>9</v>
  </rv>
  <rv s="4">
    <fb>1.1866000000000001</fb>
    <v>10</v>
  </rv>
  <rv s="4">
    <fb>115079.71</fb>
    <v>10</v>
  </rv>
  <rv s="4">
    <fb>116018.68</fb>
    <v>10</v>
  </rv>
  <rv s="4">
    <fb>113932.38</fb>
    <v>10</v>
  </rv>
  <rv s="4">
    <fb>115800.46</fb>
    <v>10</v>
  </rv>
  <rv s="4">
    <fb>45915</fb>
    <v>9</v>
  </rv>
  <rv s="4">
    <fb>45942</fb>
    <v>9</v>
  </rv>
  <rv s="4">
    <fb>110409.93</fb>
    <v>10</v>
  </rv>
  <rv s="4">
    <fb>115537.44</fb>
    <v>10</v>
  </rv>
  <rv s="4">
    <fb>109749.1</fb>
    <v>10</v>
  </rv>
  <rv s="4">
    <fb>115059.85</fb>
    <v>10</v>
  </rv>
  <rv s="4">
    <fb>45912</fb>
    <v>9</v>
  </rv>
  <rv s="4">
    <fb>45941</fb>
    <v>9</v>
  </rv>
  <rv s="4">
    <fb>114588.56</fb>
    <v>10</v>
  </rv>
  <rv s="4">
    <fb>115610.64</fb>
    <v>10</v>
  </rv>
  <rv s="4">
    <fb>104782.88</fb>
    <v>10</v>
  </rv>
  <rv s="4">
    <fb>110438.92</fb>
    <v>10</v>
  </rv>
  <rv s="4">
    <fb>45911</fb>
    <v>9</v>
  </rv>
  <rv s="4">
    <fb>121157.44</fb>
    <v>10</v>
  </rv>
  <rv s="4">
    <fb>122574.46</fb>
    <v>10</v>
  </rv>
  <rv s="4">
    <fb>113180.8</fb>
    <v>10</v>
  </rv>
  <rv s="4">
    <fb>114390.64</fb>
    <v>10</v>
  </rv>
  <rv s="4">
    <fb>45910</fb>
    <v>9</v>
  </rv>
  <rv s="4">
    <fb>1.1693</fb>
    <v>10</v>
  </rv>
  <rv s="4">
    <fb>122888.54</fb>
    <v>10</v>
  </rv>
  <rv s="4">
    <fb>123750.51</fb>
    <v>10</v>
  </rv>
  <rv s="4">
    <fb>119782.6</fb>
    <v>10</v>
  </rv>
  <rv s="4">
    <fb>121174.96</fb>
    <v>10</v>
  </rv>
  <rv s="4">
    <fb>45909</fb>
    <v>9</v>
  </rv>
  <rv s="4">
    <fb>1.1706000000000001</fb>
    <v>10</v>
  </rv>
  <rv s="4">
    <fb>122022.75</fb>
    <v>10</v>
  </rv>
  <rv s="4">
    <fb>124181.81</fb>
    <v>10</v>
  </rv>
  <rv s="4">
    <fb>121151.29</fb>
    <v>10</v>
  </rv>
  <rv s="4">
    <fb>122936.09</fb>
    <v>10</v>
  </rv>
  <rv s="4">
    <fb>45908</fb>
    <v>9</v>
  </rv>
  <rv s="4">
    <fb>1.1761999999999999</fb>
    <v>10</v>
  </rv>
  <rv s="4">
    <fb>125268.28</fb>
    <v>10</v>
  </rv>
  <rv s="4">
    <fb>125313.38</fb>
    <v>10</v>
  </rv>
  <rv s="4">
    <fb>120683.13</fb>
    <v>10</v>
  </rv>
  <rv s="4">
    <fb>122018.87</fb>
    <v>10</v>
  </rv>
  <rv s="4">
    <fb>45905</fb>
    <v>9</v>
  </rv>
  <rv s="4">
    <fb>1.1717</fb>
    <v>10</v>
  </rv>
  <rv s="4">
    <fb>122765.16</fb>
    <v>10</v>
  </rv>
  <rv s="4">
    <fb>126223.18</fb>
    <v>10</v>
  </rv>
  <rv s="4">
    <fb>122526.42</fb>
    <v>10</v>
  </rv>
  <rv s="4">
    <fb>125251.28</fb>
    <v>10</v>
  </rv>
  <rv s="4">
    <fb>45904</fb>
    <v>9</v>
  </rv>
  <rv s="4">
    <fb>1.1649</fb>
    <v>10</v>
  </rv>
  <rv s="4">
    <fb>45935</fb>
    <v>9</v>
  </rv>
  <rv s="4">
    <fb>121966.24</fb>
    <v>10</v>
  </rv>
  <rv s="4">
    <fb>125653.32</fb>
    <v>10</v>
  </rv>
  <rv s="4">
    <fb>121950.92</fb>
    <v>10</v>
  </rv>
  <rv s="4">
    <fb>122776.8</fb>
    <v>10</v>
  </rv>
  <rv s="4">
    <fb>45903</fb>
    <v>9</v>
  </rv>
  <rv s="4">
    <fb>1.1660999999999999</fb>
    <v>10</v>
  </rv>
  <rv s="4">
    <fb>45934</fb>
    <v>9</v>
  </rv>
  <rv s="4">
    <fb>122490.31</fb>
    <v>10</v>
  </rv>
  <rv s="4">
    <fb>122842.7</fb>
    <v>10</v>
  </rv>
  <rv s="4">
    <fb>121577.29</fb>
    <v>10</v>
  </rv>
  <rv s="4">
    <fb>121974.55</fb>
    <v>10</v>
  </rv>
  <rv s="4">
    <fb>45902</fb>
    <v>9</v>
  </rv>
  <rv s="4">
    <fb>1.1637999999999999</fb>
    <v>10</v>
  </rv>
  <rv s="4">
    <fb>120691.59</fb>
    <v>10</v>
  </rv>
  <rv s="4">
    <fb>123939.18</fb>
    <v>10</v>
  </rv>
  <rv s="4">
    <fb>119360.9</fb>
    <v>10</v>
  </rv>
  <rv s="4">
    <fb>122543.84</fb>
    <v>10</v>
  </rv>
  <rv s="4">
    <fb>45901</fb>
    <v>9</v>
  </rv>
  <rv s="4">
    <fb>117584.63</fb>
    <v>10</v>
  </rv>
  <rv s="4">
    <fb>121065.51</fb>
    <v>10</v>
  </rv>
  <rv s="4">
    <fb>117423.93</fb>
    <v>10</v>
  </rv>
  <rv s="4">
    <fb>120720.06</fb>
    <v>10</v>
  </rv>
  <rv s="4">
    <fb>45898</fb>
    <v>9</v>
  </rv>
  <rv s="4">
    <fb>1.1684000000000001</fb>
    <v>10</v>
  </rv>
  <rv s="4">
    <fb>114640.99</fb>
    <v>10</v>
  </rv>
  <rv s="4">
    <fb>118204.39</fb>
    <v>10</v>
  </rv>
  <rv s="4">
    <fb>113800.41</fb>
    <v>10</v>
  </rv>
  <rv s="4">
    <fb>117587.7</fb>
    <v>10</v>
  </rv>
  <rv s="4">
    <fb>45897</fb>
    <v>9</v>
  </rv>
  <rv s="4">
    <fb>1.1681999999999999</fb>
    <v>10</v>
  </rv>
  <rv s="4">
    <fb>114356.04</fb>
    <v>10</v>
  </rv>
  <rv s="4">
    <fb>114849.43</fb>
    <v>10</v>
  </rv>
  <rv s="4">
    <fb>112771.41</fb>
    <v>10</v>
  </rv>
  <rv s="4">
    <fb>114638.39999999999</fb>
    <v>10</v>
  </rv>
  <rv s="4">
    <fb>45896</fb>
    <v>9</v>
  </rv>
  <rv s="4">
    <fb>1.1637</fb>
    <v>10</v>
  </rv>
  <rv s="4">
    <fb>110858.94</fb>
    <v>10</v>
  </rv>
  <rv s="4">
    <fb>114489.1</fb>
    <v>10</v>
  </rv>
  <rv s="4">
    <fb>110691.46</fb>
    <v>10</v>
  </rv>
  <rv s="4">
    <fb>114354.22</fb>
    <v>10</v>
  </rv>
  <rv s="4">
    <fb>45895</fb>
    <v>9</v>
  </rv>
  <rv s="4">
    <fb>45928</fb>
    <v>9</v>
  </rv>
  <rv s="4">
    <fb>109493.75999999999</fb>
    <v>10</v>
  </rv>
  <rv s="4">
    <fb>110996.28</fb>
    <v>10</v>
  </rv>
  <rv s="4">
    <fb>109272.17</fb>
    <v>10</v>
  </rv>
  <rv s="4">
    <fb>110893.42</fb>
    <v>10</v>
  </rv>
  <rv s="4">
    <fb>45894</fb>
    <v>9</v>
  </rv>
  <rv s="4">
    <fb>45927</fb>
    <v>9</v>
  </rv>
  <rv s="4">
    <fb>109366.71</fb>
    <v>10</v>
  </rv>
  <rv s="4">
    <fb>109827.09</fb>
    <v>10</v>
  </rv>
  <rv s="4">
    <fb>109192.13</fb>
    <v>10</v>
  </rv>
  <rv s="4">
    <fb>109485.72</fb>
    <v>10</v>
  </rv>
  <rv s="4">
    <fb>45891</fb>
    <v>9</v>
  </rv>
  <rv s="4">
    <fb>1.1715</fb>
    <v>10</v>
  </rv>
  <rv s="4">
    <fb>109268.72</fb>
    <v>10</v>
  </rv>
  <rv s="4">
    <fb>110379.57</fb>
    <v>10</v>
  </rv>
  <rv s="4">
    <fb>108760.53</fb>
    <v>10</v>
  </rv>
  <rv s="4">
    <fb>109387.54</fb>
    <v>10</v>
  </rv>
  <rv s="4">
    <fb>45890</fb>
    <v>9</v>
  </rv>
  <rv s="4">
    <fb>113600.06</fb>
    <v>10</v>
  </rv>
  <rv s="4">
    <fb>113699.89</fb>
    <v>10</v>
  </rv>
  <rv s="4">
    <fb>108715.65</fb>
    <v>10</v>
  </rv>
  <rv s="4">
    <fb>109222.55</fb>
    <v>10</v>
  </rv>
  <rv s="4">
    <fb>45889</fb>
    <v>9</v>
  </rv>
  <rv s="4">
    <fb>112033.29</fb>
    <v>10</v>
  </rv>
  <rv s="4">
    <fb>114006.32</fb>
    <v>10</v>
  </rv>
  <rv s="4">
    <fb>111317.46</fb>
    <v>10</v>
  </rv>
  <rv s="4">
    <fb>113603.71</fb>
    <v>10</v>
  </rv>
  <rv s="4">
    <fb>45888</fb>
    <v>9</v>
  </rv>
  <rv s="4">
    <fb>112866.71</fb>
    <v>10</v>
  </rv>
  <rv s="4">
    <fb>113355.07</fb>
    <v>10</v>
  </rv>
  <rv s="4">
    <fb>111564.16</fb>
    <v>10</v>
  </rv>
  <rv s="4">
    <fb>112036.28</fb>
    <v>10</v>
  </rv>
  <rv s="4">
    <fb>45887</fb>
    <v>9</v>
  </rv>
  <rv s="4">
    <fb>1.1659999999999999</fb>
    <v>10</v>
  </rv>
  <rv s="4">
    <fb>115450.97</fb>
    <v>10</v>
  </rv>
  <rv s="4">
    <fb>115614.34</fb>
    <v>10</v>
  </rv>
  <rv s="4">
    <fb>112061.59</fb>
    <v>10</v>
  </rv>
  <rv s="4">
    <fb>112861.14</fb>
    <v>10</v>
  </rv>
  <rv s="4">
    <fb>45884</fb>
    <v>9</v>
  </rv>
  <rv s="4">
    <fb>1.1697</fb>
    <v>10</v>
  </rv>
  <rv s="4">
    <fb>45921</fb>
    <v>9</v>
  </rv>
  <rv s="4">
    <fb>115805.38</fb>
    <v>10</v>
  </rv>
  <rv s="4">
    <fb>116041.72</fb>
    <v>10</v>
  </rv>
  <rv s="4">
    <fb>115329.81</fb>
    <v>10</v>
  </rv>
  <rv s="4">
    <fb>115431.72</fb>
    <v>10</v>
  </rv>
  <rv s="4">
    <fb>45883</fb>
    <v>9</v>
  </rv>
  <rv s="4">
    <fb>45920</fb>
    <v>9</v>
  </rv>
  <rv s="4">
    <fb>115457.46</fb>
    <v>10</v>
  </rv>
  <rv s="4">
    <fb>116194.87</fb>
    <v>10</v>
  </rv>
  <rv s="4">
    <fb>115383.41</fb>
    <v>10</v>
  </rv>
  <rv s="4">
    <fb>115855.17</fb>
    <v>10</v>
  </rv>
  <rv s="4">
    <fb>45882</fb>
    <v>9</v>
  </rv>
  <rv s="4">
    <fb>1.1704000000000001</fb>
    <v>10</v>
  </rv>
  <rv s="4">
    <fb>117584.05</fb>
    <v>10</v>
  </rv>
  <rv s="4">
    <fb>115181.6</fb>
    <v>10</v>
  </rv>
  <rv s="4">
    <fb>115418.74</fb>
    <v>10</v>
  </rv>
  <rv s="4">
    <fb>45881</fb>
    <v>9</v>
  </rv>
  <rv s="4">
    <fb>1.1673</fb>
    <v>10</v>
  </rv>
  <rv s="4">
    <fb>115644.23</fb>
    <v>10</v>
  </rv>
  <rv s="4">
    <fb>117948.43</fb>
    <v>10</v>
  </rv>
  <rv s="4">
    <fb>115396.67</fb>
    <v>10</v>
  </rv>
  <rv s="4">
    <fb>117594.39</fb>
    <v>10</v>
  </rv>
  <rv s="4">
    <fb>45880</fb>
    <v>9</v>
  </rv>
  <rv s="4">
    <fb>1.1614</fb>
    <v>10</v>
  </rv>
  <rv s="4">
    <fb>116896.2</fb>
    <v>10</v>
  </rv>
  <rv s="4">
    <fb>117314.17</fb>
    <v>10</v>
  </rv>
  <rv s="4">
    <fb>114805.81</fb>
    <v>10</v>
  </rv>
  <rv s="4">
    <fb>115647.65</fb>
    <v>10</v>
  </rv>
  <rv s="4">
    <fb>45877</fb>
    <v>9</v>
  </rv>
  <rv s="4">
    <fb>1.1638999999999999</fb>
    <v>10</v>
  </rv>
  <rv s="4">
    <fb>115434.92</fb>
    <v>10</v>
  </rv>
  <rv s="4">
    <fb>116940.44</fb>
    <v>10</v>
  </rv>
  <rv s="4">
    <fb>114813.72</fb>
    <v>10</v>
  </rv>
  <rv s="4">
    <fb>116911.02</fb>
    <v>10</v>
  </rv>
  <rv s="4">
    <fb>45876</fb>
    <v>9</v>
  </rv>
  <rv s="4">
    <fb>115854.73</fb>
    <v>10</v>
  </rv>
  <rv s="4">
    <fb>116783.12</fb>
    <v>10</v>
  </rv>
  <rv s="4">
    <fb>114484.81</fb>
    <v>10</v>
  </rv>
  <rv s="4">
    <fb>115412.89</fb>
    <v>10</v>
  </rv>
  <rv s="4">
    <fb>45875</fb>
    <v>9</v>
  </rv>
  <rv s="4">
    <fb>1.1658999999999999</fb>
    <v>10</v>
  </rv>
  <rv s="4">
    <fb>45914</fb>
    <v>9</v>
  </rv>
  <rv s="4">
    <fb>115944.26</fb>
    <v>10</v>
  </rv>
  <rv s="4">
    <fb>116180.65</fb>
    <v>10</v>
  </rv>
  <rv s="4">
    <fb>115206.5</fb>
    <v>10</v>
  </rv>
  <rv s="4">
    <fb>115854.63</fb>
    <v>10</v>
  </rv>
  <rv s="4">
    <fb>45874</fb>
    <v>9</v>
  </rv>
  <rv s="4">
    <fb>1.1574</fb>
    <v>10</v>
  </rv>
  <rv s="4">
    <fb>45913</fb>
    <v>9</v>
  </rv>
  <rv s="4">
    <fb>116223.34</fb>
    <v>10</v>
  </rv>
  <rv s="4">
    <fb>116377.86</fb>
    <v>10</v>
  </rv>
  <rv s="4">
    <fb>115170.21</fb>
    <v>10</v>
  </rv>
  <rv s="4">
    <fb>115950.16</fb>
    <v>10</v>
  </rv>
  <rv s="4">
    <fb>45873</fb>
    <v>9</v>
  </rv>
  <rv s="4">
    <fb>1.157</fb>
    <v>10</v>
  </rv>
  <rv s="4">
    <fb>114414.24</fb>
    <v>10</v>
  </rv>
  <rv s="4">
    <fb>116758.47</fb>
    <v>10</v>
  </rv>
  <rv s="4">
    <fb>114408.58</fb>
    <v>10</v>
  </rv>
  <rv s="4">
    <fb>116234.83</fb>
    <v>10</v>
  </rv>
  <rv s="4">
    <fb>45870</fb>
    <v>9</v>
  </rv>
  <rv s="4">
    <fb>1.1584000000000001</fb>
    <v>10</v>
  </rv>
  <rv s="4">
    <fb>113609.13</fb>
    <v>10</v>
  </rv>
  <rv s="4">
    <fb>114707.81</fb>
    <v>10</v>
  </rv>
  <rv s="4">
    <fb>113470.19</fb>
    <v>10</v>
  </rv>
  <rv s="4">
    <fb>114425.38</fb>
    <v>10</v>
  </rv>
  <rv s="4">
    <fb>45869</fb>
    <v>9</v>
  </rv>
  <rv s="4">
    <fb>1.1415</fb>
    <v>10</v>
  </rv>
  <rv s="4">
    <fb>111512.9</fb>
    <v>10</v>
  </rv>
  <rv s="4">
    <fb>114307.05</fb>
    <v>10</v>
  </rv>
  <rv s="4">
    <fb>110975.94</fb>
    <v>10</v>
  </rv>
  <rv s="4">
    <fb>113624.09</fb>
    <v>10</v>
  </rv>
  <rv s="4">
    <fb>45868</fb>
    <v>9</v>
  </rv>
  <rv s="4">
    <fb>1.1404000000000001</fb>
    <v>10</v>
  </rv>
  <rv s="4">
    <fb>111986.61</fb>
    <v>10</v>
  </rv>
  <rv s="4">
    <fb>113253.87</fb>
    <v>10</v>
  </rv>
  <rv s="4">
    <fb>110794</fb>
    <v>10</v>
  </rv>
  <rv s="4">
    <fb>111499.4</fb>
    <v>10</v>
  </rv>
  <rv s="4">
    <fb>45867</fb>
    <v>9</v>
  </rv>
  <rv s="4">
    <fb>1.1545000000000001</fb>
    <v>10</v>
  </rv>
  <rv s="4">
    <fb>111350.74</fb>
    <v>10</v>
  </rv>
  <rv s="4">
    <fb>112897.91</fb>
    <v>10</v>
  </rv>
  <rv s="4">
    <fb>110664.56</fb>
    <v>10</v>
  </rv>
  <rv s="4">
    <fb>111986.95</fb>
    <v>10</v>
  </rv>
  <rv s="4">
    <fb>45866</fb>
    <v>9</v>
  </rv>
  <rv s="4">
    <fb>1.1588000000000001</fb>
    <v>10</v>
  </rv>
  <rv s="4">
    <fb>45907</fb>
    <v>9</v>
  </rv>
  <rv s="4">
    <fb>110188.85</fb>
    <v>10</v>
  </rv>
  <rv s="4">
    <fb>111382.35</fb>
    <v>10</v>
  </rv>
  <rv s="4">
    <fb>110021.54</fb>
    <v>10</v>
  </rv>
  <rv s="4">
    <fb>111351.65</fb>
    <v>10</v>
  </rv>
  <rv s="4">
    <fb>45863</fb>
    <v>9</v>
  </rv>
  <rv s="4">
    <fb>45906</fb>
    <v>9</v>
  </rv>
  <rv s="4">
    <fb>111679.7</fb>
    <v>10</v>
  </rv>
  <rv s="4">
    <fb>111715.3</fb>
    <v>10</v>
  </rv>
  <rv s="4">
    <fb>110021.56</fb>
    <v>10</v>
  </rv>
  <rv s="4">
    <fb>110174.76</fb>
    <v>10</v>
  </rv>
  <rv s="4">
    <fb>45862</fb>
    <v>9</v>
  </rv>
  <rv s="4">
    <fb>1.1754</fb>
    <v>10</v>
  </rv>
  <rv s="4">
    <fb>110429.41</fb>
    <v>10</v>
  </rv>
  <rv s="4">
    <fb>113378.69</fb>
    <v>10</v>
  </rv>
  <rv s="4">
    <fb>110266.31</fb>
    <v>10</v>
  </rv>
  <rv s="4">
    <fb>111659</fb>
    <v>10</v>
  </rv>
  <rv s="4">
    <fb>45861</fb>
    <v>9</v>
  </rv>
  <rv s="4">
    <fb>1.177</fb>
    <v>10</v>
  </rv>
  <rv s="4">
    <fb>112271.79</fb>
    <v>10</v>
  </rv>
  <rv s="4">
    <fb>112314.52</fb>
    <v>10</v>
  </rv>
  <rv s="4">
    <fb>109386.52</fb>
    <v>10</v>
  </rv>
  <rv s="4">
    <fb>110413.59</fb>
    <v>10</v>
  </rv>
  <rv s="4">
    <fb>45860</fb>
    <v>9</v>
  </rv>
  <rv s="4">
    <fb>1.1753</fb>
    <v>10</v>
  </rv>
  <rv s="4">
    <fb>111427.21</fb>
    <v>10</v>
  </rv>
  <rv s="4">
    <fb>112596.97</fb>
    <v>10</v>
  </rv>
  <rv s="4">
    <fb>110588.67</fb>
    <v>10</v>
  </rv>
  <rv s="4">
    <fb>112267.11</fb>
    <v>10</v>
  </rv>
  <rv s="4">
    <fb>45859</fb>
    <v>9</v>
  </rv>
  <rv s="4">
    <fb>1.1695</fb>
    <v>10</v>
  </rv>
  <rv s="4">
    <fb>108848.71</fb>
    <v>10</v>
  </rv>
  <rv s="4">
    <fb>111766.01</fb>
    <v>10</v>
  </rv>
  <rv s="4">
    <fb>107489.57</fb>
    <v>10</v>
  </rv>
  <rv s="4">
    <fb>111417.87</fb>
    <v>10</v>
  </rv>
  <rv s="4">
    <fb>45856</fb>
    <v>9</v>
  </rv>
  <rv s="4">
    <fb>109163.09</fb>
    <v>10</v>
  </rv>
  <rv s="4">
    <fb>109903.64</fb>
    <v>10</v>
  </rv>
  <rv s="4">
    <fb>107304.15</fb>
    <v>10</v>
  </rv>
  <rv s="4">
    <fb>108865.31</fb>
    <v>10</v>
  </rv>
  <rv s="4">
    <fb>45855</fb>
    <v>9</v>
  </rv>
  <rv s="4">
    <fb>45900</fb>
    <v>9</v>
  </rv>
  <rv s="4">
    <fb>108679.72</fb>
    <v>10</v>
  </rv>
  <rv s="4">
    <fb>109524.96</fb>
    <v>10</v>
  </rv>
  <rv s="4">
    <fb>108215.2</fb>
    <v>10</v>
  </rv>
  <rv s="4">
    <fb>109116.21</fb>
    <v>10</v>
  </rv>
  <rv s="4">
    <fb>45854</fb>
    <v>9</v>
  </rv>
  <rv s="4">
    <fb>1.1634</fb>
    <v>10</v>
  </rv>
  <rv s="4">
    <fb>45899</fb>
    <v>9</v>
  </rv>
  <rv s="4">
    <fb>107827.82</fb>
    <v>10</v>
  </rv>
  <rv s="4">
    <fb>108961.86</fb>
    <v>10</v>
  </rv>
  <rv s="4">
    <fb>107450.05</fb>
    <v>10</v>
  </rv>
  <rv s="4">
    <fb>108700.02</fb>
    <v>10</v>
  </rv>
  <rv s="4">
    <fb>45853</fb>
    <v>9</v>
  </rv>
  <rv s="4">
    <fb>111962.68</fb>
    <v>10</v>
  </rv>
  <rv s="4">
    <fb>112644.94</fb>
    <v>10</v>
  </rv>
  <rv s="4">
    <fb>107621.49</fb>
    <v>10</v>
  </rv>
  <rv s="4">
    <fb>107814.56</fb>
    <v>10</v>
  </rv>
  <rv s="4">
    <fb>45852</fb>
    <v>9</v>
  </rv>
  <rv s="4">
    <fb>1.1662999999999999</fb>
    <v>10</v>
  </rv>
  <rv s="4">
    <fb>112461.98</fb>
    <v>10</v>
  </rv>
  <rv s="4">
    <fb>113481.24</fb>
    <v>10</v>
  </rv>
  <rv s="4">
    <fb>110922.7</fb>
    <v>10</v>
  </rv>
  <rv s="4">
    <fb>111968.63</fb>
    <v>10</v>
  </rv>
  <rv s="4">
    <fb>45849</fb>
    <v>9</v>
  </rv>
  <rv s="4">
    <fb>1.1689000000000001</fb>
    <v>10</v>
  </rv>
  <rv s="4">
    <fb>111391.54</fb>
    <v>10</v>
  </rv>
  <rv s="4">
    <fb>112695.62</fb>
    <v>10</v>
  </rv>
  <rv s="4">
    <fb>110433.59</fb>
    <v>10</v>
  </rv>
  <rv s="4">
    <fb>112434.47</fb>
    <v>10</v>
  </rv>
  <rv s="4">
    <fb>45848</fb>
    <v>9</v>
  </rv>
  <rv s="4">
    <fb>1.17</fb>
    <v>10</v>
  </rv>
  <rv s="4">
    <fb>109577.29</fb>
    <v>10</v>
  </rv>
  <rv s="4">
    <fb>111436.14</fb>
    <v>10</v>
  </rv>
  <rv s="4">
    <fb>108829.09</fb>
    <v>10</v>
  </rv>
  <rv s="4">
    <fb>111386.67</fb>
    <v>10</v>
  </rv>
  <rv s="4">
    <fb>45847</fb>
    <v>9</v>
  </rv>
  <rv s="4">
    <fb>1.1718999999999999</fb>
    <v>10</v>
  </rv>
  <rv s="4">
    <fb>112780.85</fb>
    <v>10</v>
  </rv>
  <rv s="4">
    <fb>113718.75</fb>
    <v>10</v>
  </rv>
  <rv s="4">
    <fb>109453.22</fb>
    <v>10</v>
  </rv>
  <rv s="4">
    <fb>109666.81</fb>
    <v>10</v>
  </rv>
  <rv s="4">
    <fb>45846</fb>
    <v>9</v>
  </rv>
  <rv s="4">
    <fb>1.1724000000000001</fb>
    <v>10</v>
  </rv>
  <rv s="4">
    <fb>45893</fb>
    <v>9</v>
  </rv>
  <rv s="4">
    <fb>115308.98</fb>
    <v>10</v>
  </rv>
  <rv s="4">
    <fb>115634.88</fb>
    <v>10</v>
  </rv>
  <rv s="4">
    <fb>111241.99</fb>
    <v>10</v>
  </rv>
  <rv s="4">
    <fb>112754.61</fb>
    <v>10</v>
  </rv>
  <rv s="4">
    <fb>45845</fb>
    <v>9</v>
  </rv>
  <rv s="4">
    <fb>1.1707000000000001</fb>
    <v>10</v>
  </rv>
  <rv s="4">
    <fb>45892</fb>
    <v>9</v>
  </rv>
  <rv s="4">
    <fb>117047.63</fb>
    <v>10</v>
  </rv>
  <rv s="4">
    <fb>117178.9</fb>
    <v>10</v>
  </rv>
  <rv s="4">
    <fb>114573.92</fb>
    <v>10</v>
  </rv>
  <rv s="4">
    <fb>115307.14</fb>
    <v>10</v>
  </rv>
  <rv s="4">
    <fb>45842</fb>
    <v>9</v>
  </rv>
  <rv s="4">
    <fb>112410.89</fb>
    <v>10</v>
  </rv>
  <rv s="4">
    <fb>117416.17</fb>
    <v>10</v>
  </rv>
  <rv s="4">
    <fb>111666.07</fb>
    <v>10</v>
  </rv>
  <rv s="4">
    <fb>117004.03</fb>
    <v>10</v>
  </rv>
  <rv s="4">
    <fb>45841</fb>
    <v>9</v>
  </rv>
  <rv s="4">
    <fb>1.1756</fb>
    <v>10</v>
  </rv>
  <rv s="4">
    <fb>114410.58</fb>
    <v>10</v>
  </rv>
  <rv s="4">
    <fb>114803.67</fb>
    <v>10</v>
  </rv>
  <rv s="4">
    <fb>112008.02</fb>
    <v>10</v>
  </rv>
  <rv s="4">
    <fb>112429.1</fb>
    <v>10</v>
  </rv>
  <rv s="4">
    <fb>45840</fb>
    <v>9</v>
  </rv>
  <rv s="4">
    <fb>1.1798</fb>
    <v>10</v>
  </rv>
  <rv s="4">
    <fb>113575.14</fb>
    <v>10</v>
  </rv>
  <rv s="4">
    <fb>114446.27</fb>
    <v>10</v>
  </rv>
  <rv s="4">
    <fb>112386.93</fb>
    <v>10</v>
  </rv>
  <rv s="4">
    <fb>114411.42</fb>
    <v>10</v>
  </rv>
  <rv s="4">
    <fb>45839</fb>
    <v>9</v>
  </rv>
  <rv s="4">
    <fb>1.1805000000000001</fb>
    <v>10</v>
  </rv>
  <rv s="4">
    <fb>116506.43</fb>
    <v>10</v>
  </rv>
  <rv s="4">
    <fb>117041.04</fb>
    <v>10</v>
  </rv>
  <rv s="4">
    <fb>112762.86</fb>
    <v>10</v>
  </rv>
  <rv s="4">
    <fb>113575.59</fb>
    <v>10</v>
  </rv>
  <rv s="4">
    <fb>45838</fb>
    <v>9</v>
  </rv>
  <rv s="4">
    <fb>117722.3</fb>
    <v>10</v>
  </rv>
  <rv s="4">
    <fb>118051.11</fb>
    <v>10</v>
  </rv>
  <rv s="4">
    <fb>114755.65</fb>
    <v>10</v>
  </rv>
  <rv s="4">
    <fb>116470.16</fb>
    <v>10</v>
  </rv>
  <rv s="4">
    <fb>45835</fb>
    <v>9</v>
  </rv>
  <rv s="4">
    <fb>45886</fb>
    <v>9</v>
  </rv>
  <rv s="4">
    <fb>117745.41</fb>
    <v>10</v>
  </rv>
  <rv s="4">
    <fb>118609.78</fb>
    <v>10</v>
  </rv>
  <rv s="4">
    <fb>117312.68</fb>
    <v>10</v>
  </rv>
  <rv s="4">
    <fb>117716.16</fb>
    <v>10</v>
  </rv>
  <rv s="4">
    <fb>45834</fb>
    <v>9</v>
  </rv>
  <rv s="4">
    <fb>1.1698999999999999</fb>
    <v>10</v>
  </rv>
  <rv s="4">
    <fb>45885</fb>
    <v>9</v>
  </rv>
  <rv s="4">
    <fb>117393.35</fb>
    <v>10</v>
  </rv>
  <rv s="4">
    <fb>117993.26</fb>
    <v>10</v>
  </rv>
  <rv s="4">
    <fb>117137.04</fb>
    <v>10</v>
  </rv>
  <rv s="4">
    <fb>45833</fb>
    <v>9</v>
  </rv>
  <rv s="4">
    <fb>117951.88</fb>
    <v>10</v>
  </rv>
  <rv s="4">
    <fb>119319.13</fb>
    <v>10</v>
  </rv>
  <rv s="4">
    <fb>116892.93</fb>
    <v>10</v>
  </rv>
  <rv s="4">
    <fb>117384.44</fb>
    <v>10</v>
  </rv>
  <rv s="4">
    <fb>45832</fb>
    <v>9</v>
  </rv>
  <rv s="4">
    <fb>1.1608000000000001</fb>
    <v>10</v>
  </rv>
  <rv s="4">
    <fb>122957.75</fb>
    <v>10</v>
  </rv>
  <rv s="4">
    <fb>124480.82</fb>
    <v>10</v>
  </rv>
  <rv s="4">
    <fb>117291.28</fb>
    <v>10</v>
  </rv>
  <rv s="4">
    <fb>117947.72</fb>
    <v>10</v>
  </rv>
  <rv s="4">
    <fb>45831</fb>
    <v>9</v>
  </rv>
  <rv s="4">
    <fb>1.1576</fb>
    <v>10</v>
  </rv>
  <rv s="4">
    <fb>120198.46</fb>
    <v>10</v>
  </rv>
  <rv s="4">
    <fb>123008.91</fb>
    <v>10</v>
  </rv>
  <rv s="4">
    <fb>118961.01</fb>
    <v>10</v>
  </rv>
  <rv s="4">
    <fb>122934.67</fb>
    <v>10</v>
  </rv>
  <rv s="4">
    <fb>45828</fb>
    <v>9</v>
  </rv>
  <rv s="4">
    <fb>1.1521999999999999</fb>
    <v>10</v>
  </rv>
  <rv s="4">
    <fb>118861.09</fb>
    <v>10</v>
  </rv>
  <rv s="4">
    <fb>120296.3</fb>
    <v>10</v>
  </rv>
  <rv s="4">
    <fb>118231.13</fb>
    <v>10</v>
  </rv>
  <rv s="4">
    <fb>120181.98</fb>
    <v>10</v>
  </rv>
  <rv s="4">
    <fb>45827</fb>
    <v>9</v>
  </rv>
  <rv s="4">
    <fb>1.1494</fb>
    <v>10</v>
  </rv>
  <rv s="4">
    <fb>118356.63</fb>
    <v>10</v>
  </rv>
  <rv s="4">
    <fb>122308.25</fb>
    <v>10</v>
  </rv>
  <rv s="4">
    <fb>118136.92</fb>
    <v>10</v>
  </rv>
  <rv s="4">
    <fb>118872.07</fb>
    <v>10</v>
  </rv>
  <rv s="4">
    <fb>45826</fb>
    <v>9</v>
  </rv>
  <rv s="4">
    <fb>1.1478999999999999</fb>
    <v>10</v>
  </rv>
  <rv s="4">
    <fb>45879</fb>
    <v>9</v>
  </rv>
  <rv s="4">
    <fb>116801.72</fb>
    <v>10</v>
  </rv>
  <rv s="4">
    <fb>119113.42</fb>
    <v>10</v>
  </rv>
  <rv s="4">
    <fb>116423.6</fb>
    <v>10</v>
  </rv>
  <rv s="4">
    <fb>118382.63</fb>
    <v>10</v>
  </rv>
  <rv s="4">
    <fb>45825</fb>
    <v>9</v>
  </rv>
  <rv s="4">
    <fb>45878</fb>
    <v>9</v>
  </rv>
  <rv s="4">
    <fb>116889.79</fb>
    <v>10</v>
  </rv>
  <rv s="4">
    <fb>117919.91</fb>
    <v>10</v>
  </rv>
  <rv s="4">
    <fb>116398.09</fb>
    <v>10</v>
  </rv>
  <rv s="4">
    <fb>116804.85</fb>
    <v>10</v>
  </rv>
  <rv s="4">
    <fb>45824</fb>
    <v>9</v>
  </rv>
  <rv s="4">
    <fb>1.1560999999999999</fb>
    <v>10</v>
  </rv>
  <rv s="4">
    <fb>117260.1</fb>
    <v>10</v>
  </rv>
  <rv s="4">
    <fb>117694.32</fb>
    <v>10</v>
  </rv>
  <rv s="4">
    <fb>115950.7</fb>
    <v>10</v>
  </rv>
  <rv s="4">
    <fb>116896.3</fb>
    <v>10</v>
  </rv>
  <rv s="4">
    <fb>45821</fb>
    <v>9</v>
  </rv>
  <rv s="4">
    <fb>1.1552</fb>
    <v>10</v>
  </rv>
  <rv s="4">
    <fb>115094.95</fb>
    <v>10</v>
  </rv>
  <rv s="4">
    <fb>117572.21</fb>
    <v>10</v>
  </rv>
  <rv s="4">
    <fb>114315.77</fb>
    <v>10</v>
  </rv>
  <rv s="4">
    <fb>117247.76</fb>
    <v>10</v>
  </rv>
  <rv s="4">
    <fb>45820</fb>
    <v>9</v>
  </rv>
  <rv s="4">
    <fb>1.1583000000000001</fb>
    <v>10</v>
  </rv>
  <rv s="4">
    <fb>113686.59</fb>
    <v>10</v>
  </rv>
  <rv s="4">
    <fb>115737.55</fb>
    <v>10</v>
  </rv>
  <rv s="4">
    <fb>113353.07</fb>
    <v>10</v>
  </rv>
  <rv s="4">
    <fb>115123.57</fb>
    <v>10</v>
  </rv>
  <rv s="4">
    <fb>45819</fb>
    <v>9</v>
  </rv>
  <rv s="4">
    <fb>1.1487000000000001</fb>
    <v>10</v>
  </rv>
  <rv s="4">
    <fb>114862.15</fb>
    <v>10</v>
  </rv>
  <rv s="4">
    <fb>115358.85</fb>
    <v>10</v>
  </rv>
  <rv s="4">
    <fb>112720.85</fb>
    <v>10</v>
  </rv>
  <rv s="4">
    <fb>113659.97</fb>
    <v>10</v>
  </rv>
  <rv s="4">
    <fb>45818</fb>
    <v>9</v>
  </rv>
  <rv s="4">
    <fb>1.1423000000000001</fb>
    <v>10</v>
  </rv>
  <rv s="4">
    <fb>114458</fb>
    <v>10</v>
  </rv>
  <rv s="4">
    <fb>115741.69</fb>
    <v>10</v>
  </rv>
  <rv s="4">
    <fb>114134.64</fb>
    <v>10</v>
  </rv>
  <rv s="4">
    <fb>114862.8</fb>
    <v>10</v>
  </rv>
  <rv s="4">
    <fb>45817</fb>
    <v>9</v>
  </rv>
  <rv s="4">
    <fb>1.1419999999999999</fb>
    <v>10</v>
  </rv>
  <rv s="4">
    <fb>45872</fb>
    <v>9</v>
  </rv>
  <rv s="4">
    <fb>112796.08</fb>
    <v>10</v>
  </rv>
  <rv s="4">
    <fb>114790.09</fb>
    <v>10</v>
  </rv>
  <rv s="4">
    <fb>112003.08</fb>
    <v>10</v>
  </rv>
  <rv s="4">
    <fb>114457.95</fb>
    <v>10</v>
  </rv>
  <rv s="4">
    <fb>45814</fb>
    <v>9</v>
  </rv>
  <rv s="4">
    <fb>1.1394</fb>
    <v>10</v>
  </rv>
  <rv s="4">
    <fb>45871</fb>
    <v>9</v>
  </rv>
  <rv s="4">
    <fb>113929.35</fb>
    <v>10</v>
  </rv>
  <rv s="4">
    <fb>114067.16</fb>
    <v>10</v>
  </rv>
  <rv s="4">
    <fb>112012.57</fb>
    <v>10</v>
  </rv>
  <rv s="4">
    <fb>112782.45</fb>
    <v>10</v>
  </rv>
  <rv s="4">
    <fb>45813</fb>
    <v>9</v>
  </rv>
  <rv s="4">
    <fb>1.1444000000000001</fb>
    <v>10</v>
  </rv>
  <rv s="4">
    <fb>116518.51</fb>
    <v>10</v>
  </rv>
  <rv s="4">
    <fb>116927.73</fb>
    <v>10</v>
  </rv>
  <rv s="4">
    <fb>113167.95</fb>
    <v>10</v>
  </rv>
  <rv s="4">
    <fb>113912.54</fb>
    <v>10</v>
  </rv>
  <rv s="4">
    <fb>45812</fb>
    <v>9</v>
  </rv>
  <rv s="4">
    <fb>1.1416999999999999</fb>
    <v>10</v>
  </rv>
  <rv s="4">
    <fb>117166.92</fb>
    <v>10</v>
  </rv>
  <rv s="4">
    <fb>118949.06</fb>
    <v>10</v>
  </rv>
  <rv s="4">
    <fb>116473.98</fb>
    <v>10</v>
  </rv>
  <rv s="4">
    <fb>116522.83</fb>
    <v>10</v>
  </rv>
  <rv s="4">
    <fb>45811</fb>
    <v>9</v>
  </rv>
  <rv s="4">
    <fb>1.137</fb>
    <v>10</v>
  </rv>
  <rv s="4">
    <fb>117504.36</fb>
    <v>10</v>
  </rv>
  <rv s="4">
    <fb>118796.26</fb>
    <v>10</v>
  </rv>
  <rv s="4">
    <fb>115804.43</fb>
    <v>10</v>
  </rv>
  <rv s="4">
    <fb>117161.65</fb>
    <v>10</v>
  </rv>
  <rv s="4">
    <fb>45810</fb>
    <v>9</v>
  </rv>
  <rv s="4">
    <fb>1.1440999999999999</fb>
    <v>10</v>
  </rv>
  <rv s="4">
    <fb>118023.44</fb>
    <v>10</v>
  </rv>
  <rv s="4">
    <fb>119293.44</fb>
    <v>10</v>
  </rv>
  <rv s="4">
    <fb>116997.36</fb>
    <v>10</v>
  </rv>
  <rv s="4">
    <fb>117446.51</fb>
    <v>10</v>
  </rv>
  <rv s="4">
    <fb>45807</fb>
    <v>9</v>
  </rv>
  <rv s="4">
    <fb>1.1347</fb>
    <v>10</v>
  </rv>
  <rv s="4">
    <fb>118834.93</fb>
    <v>10</v>
  </rv>
  <rv s="4">
    <fb>119819.52</fb>
    <v>10</v>
  </rv>
  <rv s="4">
    <fb>117455.97</fb>
    <v>10</v>
  </rv>
  <rv s="4">
    <fb>118069.01</fb>
    <v>10</v>
  </rv>
  <rv s="4">
    <fb>45806</fb>
    <v>9</v>
  </rv>
  <rv s="4">
    <fb>1.1371</fb>
    <v>10</v>
  </rv>
  <rv s="4">
    <fb>45865</fb>
    <v>9</v>
  </rv>
  <rv s="4">
    <fb>118020.3</fb>
    <v>10</v>
  </rv>
  <rv s="4">
    <fb>119564.74</fb>
    <v>10</v>
  </rv>
  <rv s="4">
    <fb>117842.96</fb>
    <v>10</v>
  </rv>
  <rv s="4">
    <fb>118821.31</fb>
    <v>10</v>
  </rv>
  <rv s="4">
    <fb>45805</fb>
    <v>9</v>
  </rv>
  <rv s="4">
    <fb>1.1292</fb>
    <v>10</v>
  </rv>
  <rv s="4">
    <fb>45864</fb>
    <v>9</v>
  </rv>
  <rv s="4">
    <fb>117096.9</fb>
    <v>10</v>
  </rv>
  <rv s="4">
    <fb>118333.98</fb>
    <v>10</v>
  </rv>
  <rv s="4">
    <fb>117046.33</fb>
    <v>10</v>
  </rv>
  <rv s="4">
    <fb>118033.16</fb>
    <v>10</v>
  </rv>
  <rv s="4">
    <fb>45804</fb>
    <v>9</v>
  </rv>
  <rv s="4">
    <fb>1.1328</fb>
    <v>10</v>
  </rv>
  <rv s="4">
    <fb>118803.95</fb>
    <v>10</v>
  </rv>
  <rv s="4">
    <fb>118845.78</fb>
    <v>10</v>
  </rv>
  <rv s="4">
    <fb>114779.36</fb>
    <v>10</v>
  </rv>
  <rv s="4">
    <fb>117130.84</fb>
    <v>10</v>
  </rv>
  <rv s="4">
    <fb>45803</fb>
    <v>9</v>
  </rv>
  <rv s="4">
    <fb>1.1387</fb>
    <v>10</v>
  </rv>
  <rv s="4">
    <fb>117960.36</fb>
    <v>10</v>
  </rv>
  <rv s="4">
    <fb>119529.16</fb>
    <v>10</v>
  </rv>
  <rv s="4">
    <fb>117229.04</fb>
    <v>10</v>
  </rv>
  <rv s="4">
    <fb>118778.45</fb>
    <v>10</v>
  </rv>
  <rv s="4">
    <fb>45800</fb>
    <v>9</v>
  </rv>
  <rv s="4">
    <fb>1.1364000000000001</fb>
    <v>10</v>
  </rv>
  <rv s="4">
    <fb>119813.17</fb>
    <v>10</v>
  </rv>
  <rv s="4">
    <fb>120265.89</fb>
    <v>10</v>
  </rv>
  <rv s="4">
    <fb>117404.49</fb>
    <v>10</v>
  </rv>
  <rv s="4">
    <fb>117999.63</fb>
    <v>10</v>
  </rv>
  <rv s="4">
    <fb>45799</fb>
    <v>9</v>
  </rv>
  <rv s="4">
    <fb>1.1279999999999999</fb>
    <v>10</v>
  </rv>
  <rv s="4">
    <fb>116990.14</fb>
    <v>10</v>
  </rv>
  <rv s="4">
    <fb>120221.91</fb>
    <v>10</v>
  </rv>
  <rv s="4">
    <fb>116238.82</fb>
    <v>10</v>
  </rv>
  <rv s="4">
    <fb>119780.85</fb>
    <v>10</v>
  </rv>
  <rv s="4">
    <fb>45798</fb>
    <v>9</v>
  </rv>
  <rv s="4">
    <fb>1.1329</fb>
    <v>10</v>
  </rv>
  <rv s="4">
    <fb>118136.76</fb>
    <v>10</v>
  </rv>
  <rv s="4">
    <fb>119658.14</fb>
    <v>10</v>
  </rv>
  <rv s="4">
    <fb>116605.23</fb>
    <v>10</v>
  </rv>
  <rv s="4">
    <fb>117003.73</fb>
    <v>10</v>
  </rv>
  <rv s="4">
    <fb>45797</fb>
    <v>9</v>
  </rv>
  <rv s="4">
    <fb>1.1282000000000001</fb>
    <v>10</v>
  </rv>
  <rv s="4">
    <fb>45858</fb>
    <v>9</v>
  </rv>
  <rv s="4">
    <fb>117804.83</fb>
    <v>10</v>
  </rv>
  <rv s="4">
    <fb>118857</fb>
    <v>10</v>
  </rv>
  <rv s="4">
    <fb>117377.05</fb>
    <v>10</v>
  </rv>
  <rv s="4">
    <fb>118135.65</fb>
    <v>10</v>
  </rv>
  <rv s="4">
    <fb>45796</fb>
    <v>9</v>
  </rv>
  <rv s="4">
    <fb>1.1242000000000001</fb>
    <v>10</v>
  </rv>
  <rv s="4">
    <fb>45857</fb>
    <v>9</v>
  </rv>
  <rv s="4">
    <fb>117469.61</fb>
    <v>10</v>
  </rv>
  <rv s="4">
    <fb>118538.41</fb>
    <v>10</v>
  </rv>
  <rv s="4">
    <fb>117460.49</fb>
    <v>10</v>
  </rv>
  <rv s="4">
    <fb>117802.16</fb>
    <v>10</v>
  </rv>
  <rv s="4">
    <fb>45793</fb>
    <v>9</v>
  </rv>
  <rv s="4">
    <fb>1.1163000000000001</fb>
    <v>10</v>
  </rv>
  <rv s="4">
    <fb>119501.13</fb>
    <v>10</v>
  </rv>
  <rv s="4">
    <fb>120997.75999999999</fb>
    <v>10</v>
  </rv>
  <rv s="4">
    <fb>116925.57</fb>
    <v>10</v>
  </rv>
  <rv s="4">
    <fb>117493.28</fb>
    <v>10</v>
  </rv>
  <rv s="4">
    <fb>45792</fb>
    <v>9</v>
  </rv>
  <rv s="4">
    <fb>1.1187</fb>
    <v>10</v>
  </rv>
  <rv s="4">
    <fb>119949.54</fb>
    <v>10</v>
  </rv>
  <rv s="4">
    <fb>120059.21</fb>
    <v>10</v>
  </rv>
  <rv s="4">
    <fb>117553.73</fb>
    <v>10</v>
  </rv>
  <rv s="4">
    <fb>119483.37</fb>
    <v>10</v>
  </rv>
  <rv s="4">
    <fb>45791</fb>
    <v>9</v>
  </rv>
  <rv s="4">
    <fb>1.1173999999999999</fb>
    <v>10</v>
  </rv>
  <rv s="4">
    <fb>116423.84</fb>
    <v>10</v>
  </rv>
  <rv s="4">
    <fb>119990.63</fb>
    <v>10</v>
  </rv>
  <rv s="4">
    <fb>116401.22</fb>
    <v>10</v>
  </rv>
  <rv s="4">
    <fb>119940.88</fb>
    <v>10</v>
  </rv>
  <rv s="4">
    <fb>45790</fb>
    <v>9</v>
  </rv>
  <rv s="4">
    <fb>1.1184000000000001</fb>
    <v>10</v>
  </rv>
  <rv s="4">
    <fb>120213.93</fb>
    <v>10</v>
  </rv>
  <rv s="4">
    <fb>120321.04</fb>
    <v>10</v>
  </rv>
  <rv s="4">
    <fb>115765.72</fb>
    <v>10</v>
  </rv>
  <rv s="4">
    <fb>116479.19</fb>
    <v>10</v>
  </rv>
  <rv s="4">
    <fb>45789</fb>
    <v>9</v>
  </rv>
  <rv s="4">
    <fb>1.1087</fb>
    <v>10</v>
  </rv>
  <rv s="4">
    <fb>119100.81</fb>
    <v>10</v>
  </rv>
  <rv s="4">
    <fb>123153.22</fb>
    <v>10</v>
  </rv>
  <rv s="4">
    <fb>118363.23</fb>
    <v>10</v>
  </rv>
  <rv s="4">
    <fb>120222.27</fb>
    <v>10</v>
  </rv>
  <rv s="4">
    <fb>45786</fb>
    <v>9</v>
  </rv>
  <rv s="4">
    <fb>1.1247</fb>
    <v>10</v>
  </rv>
  <rv s="4">
    <fb>45851</fb>
    <v>9</v>
  </rv>
  <rv s="4">
    <fb>117084.06</fb>
    <v>10</v>
  </rv>
  <rv s="4">
    <fb>119437.44</fb>
    <v>10</v>
  </rv>
  <rv s="4">
    <fb>117047.94</fb>
    <v>10</v>
  </rv>
  <rv s="4">
    <fb>119127.63</fb>
    <v>10</v>
  </rv>
  <rv s="4">
    <fb>45785</fb>
    <v>9</v>
  </rv>
  <rv s="4">
    <fb>1.1227</fb>
    <v>10</v>
  </rv>
  <rv s="4">
    <fb>45850</fb>
    <v>9</v>
  </rv>
  <rv s="4">
    <fb>117717.38</fb>
    <v>10</v>
  </rv>
  <rv s="4">
    <fb>118180.88</fb>
    <v>10</v>
  </rv>
  <rv s="4">
    <fb>116980.38</fb>
    <v>10</v>
  </rv>
  <rv s="4">
    <fb>117128.74</fb>
    <v>10</v>
  </rv>
  <rv s="4">
    <fb>45784</fb>
    <v>9</v>
  </rv>
  <rv s="4">
    <fb>1.1298999999999999</fb>
    <v>10</v>
  </rv>
  <rv s="4">
    <fb>113528.23</fb>
    <v>10</v>
  </rv>
  <rv s="4">
    <fb>118832</fb>
    <v>10</v>
  </rv>
  <rv s="4">
    <fb>113475.16</fb>
    <v>10</v>
  </rv>
  <rv s="4">
    <fb>117728.9</fb>
    <v>10</v>
  </rv>
  <rv s="4">
    <fb>45783</fb>
    <v>9</v>
  </rv>
  <rv s="4">
    <fb>1.1368</fb>
    <v>10</v>
  </rv>
  <rv s="4">
    <fb>110762.55</fb>
    <v>10</v>
  </rv>
  <rv s="4">
    <fb>113820.49</fb>
    <v>10</v>
  </rv>
  <rv s="4">
    <fb>110626.93</fb>
    <v>10</v>
  </rv>
  <rv s="4">
    <fb>113585.9</fb>
    <v>10</v>
  </rv>
  <rv s="4">
    <fb>45782</fb>
    <v>9</v>
  </rv>
  <rv s="4">
    <fb>1.1314</fb>
    <v>10</v>
  </rv>
  <rv s="4">
    <fb>108697.34</fb>
    <v>10</v>
  </rv>
  <rv s="4">
    <fb>111988.9</fb>
    <v>10</v>
  </rv>
  <rv s="4">
    <fb>108384.01</fb>
    <v>10</v>
  </rv>
  <rv s="4">
    <fb>110777.61</fb>
    <v>10</v>
  </rv>
  <rv s="4">
    <fb>45779</fb>
    <v>9</v>
  </rv>
  <rv s="4">
    <fb>1.1294999999999999</fb>
    <v>10</v>
  </rv>
  <rv s="4">
    <fb>107899.18</fb>
    <v>10</v>
  </rv>
  <rv s="4">
    <fb>109226.73</fb>
    <v>10</v>
  </rv>
  <rv s="4">
    <fb>107506.14</fb>
    <v>10</v>
  </rv>
  <rv s="4">
    <fb>108716.34</fb>
    <v>10</v>
  </rv>
  <rv s="4">
    <fb>45778</fb>
    <v>9</v>
  </rv>
  <rv s="4">
    <fb>1.1291</fb>
    <v>10</v>
  </rv>
  <rv s="4">
    <fb>108707.68</fb>
    <v>10</v>
  </rv>
  <rv s="4">
    <fb>109731.06</fb>
    <v>10</v>
  </rv>
  <rv s="4">
    <fb>107554.76</fb>
    <v>10</v>
  </rv>
  <rv s="4">
    <fb>107921.74</fb>
    <v>10</v>
  </rv>
  <rv s="4">
    <fb>45777</fb>
    <v>9</v>
  </rv>
  <rv s="4">
    <fb>1.1327</fb>
    <v>10</v>
  </rv>
  <rv s="4">
    <fb>45844</fb>
    <v>9</v>
  </rv>
  <rv s="4">
    <fb>108153.81</fb>
    <v>10</v>
  </rv>
  <rv s="4">
    <fb>109133.84</fb>
    <v>10</v>
  </rv>
  <rv s="4">
    <fb>107840.78</fb>
    <v>10</v>
  </rv>
  <rv s="4">
    <fb>108753.94</fb>
    <v>10</v>
  </rv>
  <rv s="4">
    <fb>45776</fb>
    <v>9</v>
  </rv>
  <rv s="4">
    <fb>1.1385000000000001</fb>
    <v>10</v>
  </rv>
  <rv s="4">
    <fb>45843</fb>
    <v>9</v>
  </rv>
  <rv s="4">
    <fb>107779.34</fb>
    <v>10</v>
  </rv>
  <rv s="4">
    <fb>108422.22</fb>
    <v>10</v>
  </rv>
  <rv s="4">
    <fb>107737.15</fb>
    <v>10</v>
  </rv>
  <rv s="4">
    <fb>108152.36</fb>
    <v>10</v>
  </rv>
  <rv s="4">
    <fb>45775</fb>
    <v>9</v>
  </rv>
  <rv s="4">
    <fb>1.1420999999999999</fb>
    <v>10</v>
  </rv>
  <rv s="4">
    <fb>110002.21</fb>
    <v>10</v>
  </rv>
  <rv s="4">
    <fb>110045.71</fb>
    <v>10</v>
  </rv>
  <rv s="4">
    <fb>107340.96</fb>
    <v>10</v>
  </rv>
  <rv s="4">
    <fb>107778.97</fb>
    <v>10</v>
  </rv>
  <rv s="4">
    <fb>45772</fb>
    <v>9</v>
  </rv>
  <rv s="4">
    <fb>109240.01</fb>
    <v>10</v>
  </rv>
  <rv s="4">
    <fb>110585.56</fb>
    <v>10</v>
  </rv>
  <rv s="4">
    <fb>108620.86</fb>
    <v>10</v>
  </rv>
  <rv s="4">
    <fb>109992.92</fb>
    <v>10</v>
  </rv>
  <rv s="4">
    <fb>45771</fb>
    <v>9</v>
  </rv>
  <rv s="4">
    <fb>1.1388</fb>
    <v>10</v>
  </rv>
  <rv s="4">
    <fb>105968.37</fb>
    <v>10</v>
  </rv>
  <rv s="4">
    <fb>109813.34</fb>
    <v>10</v>
  </rv>
  <rv s="4">
    <fb>105177.99</fb>
    <v>10</v>
  </rv>
  <rv s="4">
    <fb>109231.15</fb>
    <v>10</v>
  </rv>
  <rv s="4">
    <fb>45770</fb>
    <v>9</v>
  </rv>
  <rv s="4">
    <fb>1.1313</fb>
    <v>10</v>
  </rv>
  <rv s="4">
    <fb>107622.66</fb>
    <v>10</v>
  </rv>
  <rv s="4">
    <fb>107632.36</fb>
    <v>10</v>
  </rv>
  <rv s="4">
    <fb>105308.65</fb>
    <v>10</v>
  </rv>
  <rv s="4">
    <fb>105967.11</fb>
    <v>10</v>
  </rv>
  <rv s="4">
    <fb>45769</fb>
    <v>9</v>
  </rv>
  <rv s="4">
    <fb>107417.21</fb>
    <v>10</v>
  </rv>
  <rv s="4">
    <fb>108797.01</fb>
    <v>10</v>
  </rv>
  <rv s="4">
    <fb>106792.04</fb>
    <v>10</v>
  </rv>
  <rv s="4">
    <fb>107620.53</fb>
    <v>10</v>
  </rv>
  <rv s="4">
    <fb>45768</fb>
    <v>9</v>
  </rv>
  <rv s="4">
    <fb>1.1513</fb>
    <v>10</v>
  </rv>
  <rv s="4">
    <fb>45837</fb>
    <v>9</v>
  </rv>
  <rv s="4">
    <fb>107219.89</fb>
    <v>10</v>
  </rv>
  <rv s="4">
    <fb>108521.17</fb>
    <v>10</v>
  </rv>
  <rv s="4">
    <fb>107194.06</fb>
    <v>10</v>
  </rv>
  <rv s="4">
    <fb>107423.8</fb>
    <v>10</v>
  </rv>
  <rv s="4">
    <fb>45765</fb>
    <v>9</v>
  </rv>
  <rv s="4">
    <fb>1.1391</fb>
    <v>10</v>
  </rv>
  <rv s="4">
    <fb>45836</fb>
    <v>9</v>
  </rv>
  <rv s="4">
    <fb>107139.08</fb>
    <v>10</v>
  </rv>
  <rv s="4">
    <fb>107558.52</fb>
    <v>10</v>
  </rv>
  <rv s="4">
    <fb>106891.68</fb>
    <v>10</v>
  </rv>
  <rv s="4">
    <fb>107222.54</fb>
    <v>10</v>
  </rv>
  <rv s="4">
    <fb>45764</fb>
    <v>9</v>
  </rv>
  <rv s="4">
    <fb>1.1363000000000001</fb>
    <v>10</v>
  </rv>
  <rv s="4">
    <fb>107812.92</fb>
    <v>10</v>
  </rv>
  <rv s="4">
    <fb>106456.39</fb>
    <v>10</v>
  </rv>
  <rv s="4">
    <fb>107141.4</fb>
    <v>10</v>
  </rv>
  <rv s="4">
    <fb>45763</fb>
    <v>9</v>
  </rv>
  <rv s="4">
    <fb>1.1397999999999999</fb>
    <v>10</v>
  </rv>
  <rv s="4">
    <fb>107834.95</fb>
    <v>10</v>
  </rv>
  <rv s="4">
    <fb>108291.52</fb>
    <v>10</v>
  </rv>
  <rv s="4">
    <fb>106663.36</fb>
    <v>10</v>
  </rv>
  <rv s="4">
    <fb>107809.32</fb>
    <v>10</v>
  </rv>
  <rv s="4">
    <fb>45762</fb>
    <v>9</v>
  </rv>
  <rv s="4">
    <fb>1.1281000000000001</fb>
    <v>10</v>
  </rv>
  <rv s="4">
    <fb>106140.11</fb>
    <v>10</v>
  </rv>
  <rv s="4">
    <fb>108161.53</fb>
    <v>10</v>
  </rv>
  <rv s="4">
    <fb>105812.46</fb>
    <v>10</v>
  </rv>
  <rv s="4">
    <fb>107849.4</fb>
    <v>10</v>
  </rv>
  <rv s="4">
    <fb>45761</fb>
    <v>9</v>
  </rv>
  <rv s="4">
    <fb>1.1349</fb>
    <v>10</v>
  </rv>
  <rv s="4">
    <fb>103889.16</fb>
    <v>10</v>
  </rv>
  <rv s="4">
    <fb>106329.49</fb>
    <v>10</v>
  </rv>
  <rv s="4">
    <fb>103731.48</fb>
    <v>10</v>
  </rv>
  <rv s="4">
    <fb>106150.33</fb>
    <v>10</v>
  </rv>
  <rv s="4">
    <fb>45758</fb>
    <v>9</v>
  </rv>
  <rv s="4">
    <fb>1.1359999999999999</fb>
    <v>10</v>
  </rv>
  <rv s="4">
    <fb>99610.45</fb>
    <v>10</v>
  </rv>
  <rv s="4">
    <fb>103989.53</fb>
    <v>10</v>
  </rv>
  <rv s="4">
    <fb>99093.46</fb>
    <v>10</v>
  </rv>
  <rv s="4">
    <fb>103801.08</fb>
    <v>10</v>
  </rv>
  <rv s="4">
    <fb>45757</fb>
    <v>9</v>
  </rv>
  <rv s="4">
    <fb>1.1196999999999999</fb>
    <v>10</v>
  </rv>
  <rv s="4">
    <fb>45830</fb>
    <v>9</v>
  </rv>
  <rv s="4">
    <fb>102078.58</fb>
    <v>10</v>
  </rv>
  <rv s="4">
    <fb>103364.07</fb>
    <v>10</v>
  </rv>
  <rv s="4">
    <fb>98286.97</fb>
    <v>10</v>
  </rv>
  <rv s="4">
    <fb>99567.51</fb>
    <v>10</v>
  </rv>
  <rv s="4">
    <fb>45756</fb>
    <v>9</v>
  </rv>
  <rv s="4">
    <fb>1.0951</fb>
    <v>10</v>
  </rv>
  <rv s="4">
    <fb>45829</fb>
    <v>9</v>
  </rv>
  <rv s="4">
    <fb>103753.08</fb>
    <v>10</v>
  </rv>
  <rv s="4">
    <fb>104031.7</fb>
    <v>10</v>
  </rv>
  <rv s="4">
    <fb>103027.21</fb>
    <v>10</v>
  </rv>
  <rv s="4">
    <fb>103512.58</fb>
    <v>10</v>
  </rv>
  <rv s="4">
    <fb>45755</fb>
    <v>9</v>
  </rv>
  <rv s="4">
    <fb>1.0955999999999999</fb>
    <v>10</v>
  </rv>
  <rv s="4">
    <fb>104307.62</fb>
    <v>10</v>
  </rv>
  <rv s="4">
    <fb>106529.68</fb>
    <v>10</v>
  </rv>
  <rv s="4">
    <fb>102403.38</fb>
    <v>10</v>
  </rv>
  <rv s="4">
    <fb>103719.88</fb>
    <v>10</v>
  </rv>
  <rv s="4">
    <fb>45754</fb>
    <v>9</v>
  </rv>
  <rv s="4">
    <fb>1.0904</fb>
    <v>10</v>
  </rv>
  <rv s="4">
    <fb>104854</fb>
    <v>10</v>
  </rv>
  <rv s="4">
    <fb>105259.75</fb>
    <v>10</v>
  </rv>
  <rv s="4">
    <fb>103972.78</fb>
    <v>10</v>
  </rv>
  <rv s="4">
    <fb>104302.39999999999</fb>
    <v>10</v>
  </rv>
  <rv s="4">
    <fb>45751</fb>
    <v>9</v>
  </rv>
  <rv s="4">
    <fb>1.0954999999999999</fb>
    <v>10</v>
  </rv>
  <rv s="4">
    <fb>104412.51</fb>
    <v>10</v>
  </rv>
  <rv s="4">
    <fb>105570.87</fb>
    <v>10</v>
  </rv>
  <rv s="4">
    <fb>103565.89</fb>
    <v>10</v>
  </rv>
  <rv s="4">
    <fb>104856.02</fb>
    <v>10</v>
  </rv>
  <rv s="4">
    <fb>45750</fb>
    <v>9</v>
  </rv>
  <rv s="4">
    <fb>1.105</fb>
    <v>10</v>
  </rv>
  <rv s="4">
    <fb>108832.6</fb>
    <v>10</v>
  </rv>
  <rv s="4">
    <fb>108969.89</fb>
    <v>10</v>
  </rv>
  <rv s="4">
    <fb>103399.15</fb>
    <v>10</v>
  </rv>
  <rv s="4">
    <fb>104422.06</fb>
    <v>10</v>
  </rv>
  <rv s="4">
    <fb>45749</fb>
    <v>9</v>
  </rv>
  <rv s="4">
    <fb>1.0854999999999999</fb>
    <v>10</v>
  </rv>
  <rv s="4">
    <fb>104764.16</fb>
    <v>10</v>
  </rv>
  <rv s="4">
    <fb>108917.77</fb>
    <v>10</v>
  </rv>
  <rv s="4">
    <fb>104558.39999999999</fb>
    <v>10</v>
  </rv>
  <rv s="4">
    <fb>108839.31</fb>
    <v>10</v>
  </rv>
  <rv s="4">
    <fb>45748</fb>
    <v>9</v>
  </rv>
  <rv s="4">
    <fb>1.0792999999999999</fb>
    <v>10</v>
  </rv>
  <rv s="4">
    <fb>45823</fb>
    <v>9</v>
  </rv>
  <rv s="4">
    <fb>104914.08</fb>
    <v>10</v>
  </rv>
  <rv s="4">
    <fb>106166.13</fb>
    <v>10</v>
  </rv>
  <rv s="4">
    <fb>104666.39</fb>
    <v>10</v>
  </rv>
  <rv s="4">
    <fb>104783.29</fb>
    <v>10</v>
  </rv>
  <rv s="4">
    <fb>45747</fb>
    <v>9</v>
  </rv>
  <rv s="4">
    <fb>1.0817000000000001</fb>
    <v>10</v>
  </rv>
  <rv s="4">
    <fb>45822</fb>
    <v>9</v>
  </rv>
  <rv s="4">
    <fb>105479.72</fb>
    <v>10</v>
  </rv>
  <rv s="4">
    <fb>106226.2</fb>
    <v>10</v>
  </rv>
  <rv s="4">
    <fb>104405.87</fb>
    <v>10</v>
  </rv>
  <rv s="4">
    <fb>104925.74</fb>
    <v>10</v>
  </rv>
  <rv s="4">
    <fb>45744</fb>
    <v>9</v>
  </rv>
  <rv s="4">
    <fb>1.0827</fb>
    <v>10</v>
  </rv>
  <rv s="4">
    <fb>105955.83</fb>
    <v>10</v>
  </rv>
  <rv s="4">
    <fb>106462.02</fb>
    <v>10</v>
  </rv>
  <rv s="4">
    <fb>102811.38</fb>
    <v>10</v>
  </rv>
  <rv s="4">
    <fb>105469.72</fb>
    <v>10</v>
  </rv>
  <rv s="4">
    <fb>45743</fb>
    <v>9</v>
  </rv>
  <rv s="4">
    <fb>1.0801000000000001</fb>
    <v>10</v>
  </rv>
  <rv s="4">
    <fb>108940.63</fb>
    <v>10</v>
  </rv>
  <rv s="4">
    <fb>109223.21</fb>
    <v>10</v>
  </rv>
  <rv s="4">
    <fb>105816.46</fb>
    <v>10</v>
  </rv>
  <rv s="4">
    <fb>106013.27</fb>
    <v>10</v>
  </rv>
  <rv s="4">
    <fb>45742</fb>
    <v>9</v>
  </rv>
  <rv s="4">
    <fb>1.0751999999999999</fb>
    <v>10</v>
  </rv>
  <rv s="4">
    <fb>109962.46</fb>
    <v>10</v>
  </rv>
  <rv s="4">
    <fb>110389.27</fb>
    <v>10</v>
  </rv>
  <rv s="4">
    <fb>108445.05</fb>
    <v>10</v>
  </rv>
  <rv s="4">
    <fb>108897.47</fb>
    <v>10</v>
  </rv>
  <rv s="4">
    <fb>45741</fb>
    <v>9</v>
  </rv>
  <rv s="4">
    <fb>1.0790999999999999</fb>
    <v>10</v>
  </rv>
  <rv s="4">
    <fb>108785.56</fb>
    <v>10</v>
  </rv>
  <rv s="4">
    <fb>110446.38</fb>
    <v>10</v>
  </rv>
  <rv s="4">
    <fb>108403.17</fb>
    <v>10</v>
  </rv>
  <rv s="4">
    <fb>109963.45</fb>
    <v>10</v>
  </rv>
  <rv s="4">
    <fb>45740</fb>
    <v>9</v>
  </rv>
  <rv s="4">
    <fb>1.08</fb>
    <v>10</v>
  </rv>
  <rv s="4">
    <fb>106211.36</fb>
    <v>10</v>
  </rv>
  <rv s="4">
    <fb>108814.54</fb>
    <v>10</v>
  </rv>
  <rv s="4">
    <fb>105401.07</fb>
    <v>10</v>
  </rv>
  <rv s="4">
    <fb>108773.61</fb>
    <v>10</v>
  </rv>
  <rv s="4">
    <fb>45737</fb>
    <v>9</v>
  </rv>
  <rv s="4">
    <fb>1.0813999999999999</fb>
    <v>10</v>
  </rv>
  <rv s="4">
    <fb>45816</fb>
    <v>9</v>
  </rv>
  <rv s="4">
    <fb>105909.05</fb>
    <v>10</v>
  </rv>
  <rv s="4">
    <fb>106399.89</fb>
    <v>10</v>
  </rv>
  <rv s="4">
    <fb>105069.87</fb>
    <v>10</v>
  </rv>
  <rv s="4">
    <fb>106209.81</fb>
    <v>10</v>
  </rv>
  <rv s="4">
    <fb>45736</fb>
    <v>9</v>
  </rv>
  <rv s="4">
    <fb>1.0851</fb>
    <v>10</v>
  </rv>
  <rv s="4">
    <fb>45815</fb>
    <v>9</v>
  </rv>
  <rv s="4">
    <fb>104572.3</fb>
    <v>10</v>
  </rv>
  <rv s="4">
    <fb>105940.25</fb>
    <v>10</v>
  </rv>
  <rv s="4">
    <fb>103998.87</fb>
    <v>10</v>
  </rv>
  <rv s="4">
    <fb>105907.3</fb>
    <v>10</v>
  </rv>
  <rv s="4">
    <fb>45735</fb>
    <v>9</v>
  </rv>
  <rv s="4">
    <fb>1.0901000000000001</fb>
    <v>10</v>
  </rv>
  <rv s="4">
    <fb>100515.07</fb>
    <v>10</v>
  </rv>
  <rv s="4">
    <fb>105390.77</fb>
    <v>10</v>
  </rv>
  <rv s="4">
    <fb>100494.06</fb>
    <v>10</v>
  </rv>
  <rv s="4">
    <fb>104572.85</fb>
    <v>10</v>
  </rv>
  <rv s="4">
    <fb>45734</fb>
    <v>9</v>
  </rv>
  <rv s="4">
    <fb>1.0943000000000001</fb>
    <v>10</v>
  </rv>
  <rv s="4">
    <fb>104625.87</fb>
    <v>10</v>
  </rv>
  <rv s="4">
    <fb>105936.29</fb>
    <v>10</v>
  </rv>
  <rv s="4">
    <fb>100432.39</fb>
    <v>10</v>
  </rv>
  <rv s="4">
    <fb>100512.24</fb>
    <v>10</v>
  </rv>
  <rv s="4">
    <fb>45733</fb>
    <v>9</v>
  </rv>
  <rv s="4">
    <fb>1.0921000000000001</fb>
    <v>10</v>
  </rv>
  <rv s="4">
    <fb>105803.36</fb>
    <v>10</v>
  </rv>
  <rv s="4">
    <fb>106009.8</fb>
    <v>10</v>
  </rv>
  <rv s="4">
    <fb>104266.67</fb>
    <v>10</v>
  </rv>
  <rv s="4">
    <fb>104644.64</fb>
    <v>10</v>
  </rv>
  <rv s="4">
    <fb>45730</fb>
    <v>9</v>
  </rv>
  <rv s="4">
    <fb>1.0879000000000001</fb>
    <v>10</v>
  </rv>
  <rv s="4">
    <fb>104931.27</fb>
    <v>10</v>
  </rv>
  <rv s="4">
    <fb>106824.94</fb>
    <v>10</v>
  </rv>
  <rv s="4">
    <fb>104642.77</fb>
    <v>10</v>
  </rv>
  <rv s="4">
    <fb>105805.14</fb>
    <v>10</v>
  </rv>
  <rv s="4">
    <fb>45729</fb>
    <v>9</v>
  </rv>
  <rv s="4">
    <fb>1.0851999999999999</fb>
    <v>10</v>
  </rv>
  <rv s="4">
    <fb>105009.71</fb>
    <v>10</v>
  </rv>
  <rv s="4">
    <fb>105961.1</fb>
    <v>10</v>
  </rv>
  <rv s="4">
    <fb>103739.87</fb>
    <v>10</v>
  </rv>
  <rv s="4">
    <fb>104924.14</fb>
    <v>10</v>
  </rv>
  <rv s="4">
    <fb>45728</fb>
    <v>9</v>
  </rv>
  <rv s="4">
    <fb>1.0886</fb>
    <v>10</v>
  </rv>
  <rv s="4">
    <fb>45809</fb>
    <v>9</v>
  </rv>
  <rv s="4">
    <fb>104812.84</fb>
    <v>10</v>
  </rv>
  <rv s="4">
    <fb>105327.51</fb>
    <v>10</v>
  </rv>
  <rv s="4">
    <fb>103826</fb>
    <v>10</v>
  </rv>
  <rv s="4">
    <fb>105009.13</fb>
    <v>10</v>
  </rv>
  <rv s="4">
    <fb>45727</fb>
    <v>9</v>
  </rv>
  <rv s="4">
    <fb>1.0918000000000001</fb>
    <v>10</v>
  </rv>
  <rv s="4">
    <fb>45808</fb>
    <v>9</v>
  </rv>
  <rv s="4">
    <fb>104597.04</fb>
    <v>10</v>
  </rv>
  <rv s="4">
    <fb>104893.79</fb>
    <v>10</v>
  </rv>
  <rv s="4">
    <fb>103143.02</fb>
    <v>10</v>
  </rv>
  <rv s="4">
    <fb>104828.91</fb>
    <v>10</v>
  </rv>
  <rv s="4">
    <fb>45726</fb>
    <v>9</v>
  </rv>
  <rv s="4">
    <fb>1.0831999999999999</fb>
    <v>10</v>
  </rv>
  <rv s="4">
    <fb>106183.53</fb>
    <v>10</v>
  </rv>
  <rv s="4">
    <fb>106446.92</fb>
    <v>10</v>
  </rv>
  <rv s="4">
    <fb>103717.19</fb>
    <v>10</v>
  </rv>
  <rv s="4">
    <fb>104563.77</fb>
    <v>10</v>
  </rv>
  <rv s="4">
    <fb>45723</fb>
    <v>9</v>
  </rv>
  <rv s="4">
    <fb>107343.54</fb>
    <v>10</v>
  </rv>
  <rv s="4">
    <fb>108916.79</fb>
    <v>10</v>
  </rv>
  <rv s="4">
    <fb>105658.88</fb>
    <v>10</v>
  </rv>
  <rv s="4">
    <fb>106173.29</fb>
    <v>10</v>
  </rv>
  <rv s="4">
    <fb>45722</fb>
    <v>9</v>
  </rv>
  <rv s="4">
    <fb>1.0783</fb>
    <v>10</v>
  </rv>
  <rv s="4">
    <fb>109618.12</fb>
    <v>10</v>
  </rv>
  <rv s="4">
    <fb>109715.07</fb>
    <v>10</v>
  </rv>
  <rv s="4">
    <fb>106823.41</fb>
    <v>10</v>
  </rv>
  <rv s="4">
    <fb>107328.35</fb>
    <v>10</v>
  </rv>
  <rv s="4">
    <fb>45721</fb>
    <v>9</v>
  </rv>
  <rv s="4">
    <fb>1.079</fb>
    <v>10</v>
  </rv>
  <rv s="4">
    <fb>109610.72</fb>
    <v>10</v>
  </rv>
  <rv s="4">
    <fb>110747.94</fb>
    <v>10</v>
  </rv>
  <rv s="4">
    <fb>107564.63</fb>
    <v>10</v>
  </rv>
  <rv s="4">
    <fb>109622.5</fb>
    <v>10</v>
  </rv>
  <rv s="4">
    <fb>45720</fb>
    <v>9</v>
  </rv>
  <rv s="4">
    <fb>1.0624</fb>
    <v>10</v>
  </rv>
  <rv s="4">
    <fb>107706.34</fb>
    <v>10</v>
  </rv>
  <rv s="4">
    <fb>110405.91</fb>
    <v>10</v>
  </rv>
  <rv s="4">
    <fb>107215.79</fb>
    <v>10</v>
  </rv>
  <rv s="4">
    <fb>109596.9</fb>
    <v>10</v>
  </rv>
  <rv s="4">
    <fb>45719</fb>
    <v>9</v>
  </rv>
  <rv s="4">
    <fb>1.0486</fb>
    <v>10</v>
  </rv>
  <rv s="4">
    <fb>45802</fb>
    <v>9</v>
  </rv>
  <rv s="4">
    <fb>108902.76</fb>
    <v>10</v>
  </rv>
  <rv s="4">
    <fb>108903.98</fb>
    <v>10</v>
  </rv>
  <rv s="4">
    <fb>106676.59</fb>
    <v>10</v>
  </rv>
  <rv s="4">
    <fb>107707.13</fb>
    <v>10</v>
  </rv>
  <rv s="4">
    <fb>45716</fb>
    <v>9</v>
  </rv>
  <rv s="4">
    <fb>1.0375000000000001</fb>
    <v>10</v>
  </rv>
  <rv s="4">
    <fb>45801</fb>
    <v>9</v>
  </rv>
  <rv s="4">
    <fb>108240.55</fb>
    <v>10</v>
  </rv>
  <rv s="4">
    <fb>109490</fb>
    <v>10</v>
  </rv>
  <rv s="4">
    <fb>106845.95</fb>
    <v>10</v>
  </rv>
  <rv s="4">
    <fb>108903.15</fb>
    <v>10</v>
  </rv>
  <rv s="4">
    <fb>45715</fb>
    <v>9</v>
  </rv>
  <rv s="4">
    <fb>1.0397000000000001</fb>
    <v>10</v>
  </rv>
  <rv s="4">
    <fb>111071.46</fb>
    <v>10</v>
  </rv>
  <rv s="4">
    <fb>111769.75</fb>
    <v>10</v>
  </rv>
  <rv s="4">
    <fb>107367.03999999999</fb>
    <v>10</v>
  </rv>
  <rv s="4">
    <fb>108256.14</fb>
    <v>10</v>
  </rv>
  <rv s="4">
    <fb>45714</fb>
    <v>9</v>
  </rv>
  <rv s="4">
    <fb>1.0483</fb>
    <v>10</v>
  </rv>
  <rv s="4">
    <fb>108214.6</fb>
    <v>10</v>
  </rv>
  <rv s="4">
    <fb>111965.62</fb>
    <v>10</v>
  </rv>
  <rv s="4">
    <fb>108003.37</fb>
    <v>10</v>
  </rv>
  <rv s="4">
    <fb>111068.54</fb>
    <v>10</v>
  </rv>
  <rv s="4">
    <fb>45713</fb>
    <v>9</v>
  </rv>
  <rv s="4">
    <fb>1.0512999999999999</fb>
    <v>10</v>
  </rv>
  <rv s="4">
    <fb>106941.37</fb>
    <v>10</v>
  </rv>
  <rv s="4">
    <fb>109760.08</fb>
    <v>10</v>
  </rv>
  <rv s="4">
    <fb>105984.98</fb>
    <v>10</v>
  </rv>
  <rv s="4">
    <fb>108277.94</fb>
    <v>10</v>
  </rv>
  <rv s="4">
    <fb>45712</fb>
    <v>9</v>
  </rv>
  <rv s="4">
    <fb>1.0466</fb>
    <v>10</v>
  </rv>
  <rv s="4">
    <fb>105505.42</fb>
    <v>10</v>
  </rv>
  <rv s="4">
    <fb>107299.02</fb>
    <v>10</v>
  </rv>
  <rv s="4">
    <fb>104229.61</fb>
    <v>10</v>
  </rv>
  <rv s="4">
    <fb>106944.59</fb>
    <v>10</v>
  </rv>
  <rv s="4">
    <fb>45709</fb>
    <v>9</v>
  </rv>
  <rv s="4">
    <fb>1.0458000000000001</fb>
    <v>10</v>
  </rv>
  <rv s="4">
    <fb>104138.29</fb>
    <v>10</v>
  </rv>
  <rv s="4">
    <fb>107060.46</fb>
    <v>10</v>
  </rv>
  <rv s="4">
    <fb>102114.4</fb>
    <v>10</v>
  </rv>
  <rv s="4">
    <fb>105465.44</fb>
    <v>10</v>
  </rv>
  <rv s="4">
    <fb>45708</fb>
    <v>9</v>
  </rv>
  <rv s="4">
    <fb>1.05</fb>
    <v>10</v>
  </rv>
  <rv s="4">
    <fb>45795</fb>
    <v>9</v>
  </rv>
  <rv s="4">
    <fb>103427.81</fb>
    <v>10</v>
  </rv>
  <rv s="4">
    <fb>105939.95</fb>
    <v>10</v>
  </rv>
  <rv s="4">
    <fb>102950.81</fb>
    <v>10</v>
  </rv>
  <rv s="4">
    <fb>104113.12</fb>
    <v>10</v>
  </rv>
  <rv s="4">
    <fb>45707</fb>
    <v>9</v>
  </rv>
  <rv s="4">
    <fb>1.0421</fb>
    <v>10</v>
  </rv>
  <rv s="4">
    <fb>45794</fb>
    <v>9</v>
  </rv>
  <rv s="4">
    <fb>103711.98</fb>
    <v>10</v>
  </rv>
  <rv s="4">
    <fb>103811.31</fb>
    <v>10</v>
  </rv>
  <rv s="4">
    <fb>102662.52</fb>
    <v>10</v>
  </rv>
  <rv s="4">
    <fb>103425.38</fb>
    <v>10</v>
  </rv>
  <rv s="4">
    <fb>45706</fb>
    <v>9</v>
  </rv>
  <rv s="4">
    <fb>1.0445</fb>
    <v>10</v>
  </rv>
  <rv s="4">
    <fb>103455.34</fb>
    <v>10</v>
  </rv>
  <rv s="4">
    <fb>104534.86</fb>
    <v>10</v>
  </rv>
  <rv s="4">
    <fb>102744.99</fb>
    <v>10</v>
  </rv>
  <rv s="4">
    <fb>103740.65</fb>
    <v>10</v>
  </rv>
  <rv s="4">
    <fb>45705</fb>
    <v>9</v>
  </rv>
  <rv s="4">
    <fb>1.0482</fb>
    <v>10</v>
  </rv>
  <rv s="4">
    <fb>103575.97</fb>
    <v>10</v>
  </rv>
  <rv s="4">
    <fb>104160.67</fb>
    <v>10</v>
  </rv>
  <rv s="4">
    <fb>101450.33</fb>
    <v>10</v>
  </rv>
  <rv s="4">
    <fb>103463.6</fb>
    <v>10</v>
  </rv>
  <rv s="4">
    <fb>45702</fb>
    <v>9</v>
  </rv>
  <rv s="4">
    <fb>1.0490999999999999</fb>
    <v>10</v>
  </rv>
  <rv s="4">
    <fb>104591.95</fb>
    <v>10</v>
  </rv>
  <rv s="4">
    <fb>104628.7</fb>
    <v>10</v>
  </rv>
  <rv s="4">
    <fb>102646.72</fb>
    <v>10</v>
  </rv>
  <rv s="4">
    <fb>103574.39999999999</fb>
    <v>10</v>
  </rv>
  <rv s="4">
    <fb>45701</fb>
    <v>9</v>
  </rv>
  <rv s="4">
    <fb>1.0464</fb>
    <v>10</v>
  </rv>
  <rv s="4">
    <fb>102696.35</fb>
    <v>10</v>
  </rv>
  <rv s="4">
    <fb>104995.29</fb>
    <v>10</v>
  </rv>
  <rv s="4">
    <fb>101527.28</fb>
    <v>10</v>
  </rv>
  <rv s="4">
    <fb>104611.87</fb>
    <v>10</v>
  </rv>
  <rv s="4">
    <fb>45700</fb>
    <v>9</v>
  </rv>
  <rv s="4">
    <fb>1.0382</fb>
    <v>10</v>
  </rv>
  <rv s="4">
    <fb>104295.7</fb>
    <v>10</v>
  </rv>
  <rv s="4">
    <fb>105716.07</fb>
    <v>10</v>
  </rv>
  <rv s="4">
    <fb>100819.68</fb>
    <v>10</v>
  </rv>
  <rv s="4">
    <fb>102685.39</fb>
    <v>10</v>
  </rv>
  <rv s="4">
    <fb>45699</fb>
    <v>9</v>
  </rv>
  <rv s="4">
    <fb>1.036</fb>
    <v>10</v>
  </rv>
  <rv s="4">
    <fb>45788</fb>
    <v>9</v>
  </rv>
  <rv s="4">
    <fb>103185.56</fb>
    <v>10</v>
  </rv>
  <rv s="4">
    <fb>104948.8</fb>
    <v>10</v>
  </rv>
  <rv s="4">
    <fb>103169.84</fb>
    <v>10</v>
  </rv>
  <rv s="4">
    <fb>104301.47</fb>
    <v>10</v>
  </rv>
  <rv s="4">
    <fb>45698</fb>
    <v>9</v>
  </rv>
  <rv s="4">
    <fb>1.0306</fb>
    <v>10</v>
  </rv>
  <rv s="4">
    <fb>45787</fb>
    <v>9</v>
  </rv>
  <rv s="4">
    <fb>103190.44</fb>
    <v>10</v>
  </rv>
  <rv s="4">
    <fb>104056.92</fb>
    <v>10</v>
  </rv>
  <rv s="4">
    <fb>102764.92</fb>
    <v>10</v>
  </rv>
  <rv s="4">
    <fb>103174.5</fb>
    <v>10</v>
  </rv>
  <rv s="4">
    <fb>45695</fb>
    <v>9</v>
  </rv>
  <rv s="4">
    <fb>1.0327</fb>
    <v>10</v>
  </rv>
  <rv s="4">
    <fb>102614.97</fb>
    <v>10</v>
  </rv>
  <rv s="4">
    <fb>104324.39</fb>
    <v>10</v>
  </rv>
  <rv s="4">
    <fb>102161.79</fb>
    <v>10</v>
  </rv>
  <rv s="4">
    <fb>103190.5</fb>
    <v>10</v>
  </rv>
  <rv s="4">
    <fb>45694</fb>
    <v>9</v>
  </rv>
  <rv s="4">
    <fb>1.0381</fb>
    <v>10</v>
  </rv>
  <rv s="4">
    <fb>96768.89</fb>
    <v>10</v>
  </rv>
  <rv s="4">
    <fb>102815.98</fb>
    <v>10</v>
  </rv>
  <rv s="4">
    <fb>96682.72</fb>
    <v>10</v>
  </rv>
  <rv s="4">
    <fb>102631.99</fb>
    <v>10</v>
  </rv>
  <rv s="4">
    <fb>45693</fb>
    <v>9</v>
  </rv>
  <rv s="4">
    <fb>1.0402</fb>
    <v>10</v>
  </rv>
  <rv s="4">
    <fb>94717.29</fb>
    <v>10</v>
  </rv>
  <rv s="4">
    <fb>97731.53</fb>
    <v>10</v>
  </rv>
  <rv s="4">
    <fb>94501.22</fb>
    <v>10</v>
  </rv>
  <rv s="4">
    <fb>96769.73</fb>
    <v>10</v>
  </rv>
  <rv s="4">
    <fb>45692</fb>
    <v>9</v>
  </rv>
  <rv s="4">
    <fb>1.0377000000000001</fb>
    <v>10</v>
  </rv>
  <rv s="4">
    <fb>94276.2</fb>
    <v>10</v>
  </rv>
  <rv s="4">
    <fb>95219.82</fb>
    <v>10</v>
  </rv>
  <rv s="4">
    <fb>93383.39</fb>
    <v>10</v>
  </rv>
  <rv s="4">
    <fb>94708.93</fb>
    <v>10</v>
  </rv>
  <rv s="4">
    <fb>45691</fb>
    <v>9</v>
  </rv>
  <rv s="4">
    <fb>1.0344</fb>
    <v>10</v>
  </rv>
  <rv s="4">
    <fb>95756.56</fb>
    <v>10</v>
  </rv>
  <rv s="4">
    <fb>95781.2</fb>
    <v>10</v>
  </rv>
  <rv s="4">
    <fb>93548.42</fb>
    <v>10</v>
  </rv>
  <rv s="4">
    <fb>94255.05</fb>
    <v>10</v>
  </rv>
  <rv s="4">
    <fb>45688</fb>
    <v>9</v>
  </rv>
  <rv s="4">
    <fb>1.0362</fb>
    <v>10</v>
  </rv>
  <rv s="4">
    <fb>45781</fb>
    <v>9</v>
  </rv>
  <rv s="4">
    <fb>96369.68</fb>
    <v>10</v>
  </rv>
  <rv s="4">
    <fb>96457.04</fb>
    <v>10</v>
  </rv>
  <rv s="4">
    <fb>95220.28</fb>
    <v>10</v>
  </rv>
  <rv s="4">
    <fb>95730.16</fb>
    <v>10</v>
  </rv>
  <rv s="4">
    <fb>45687</fb>
    <v>9</v>
  </rv>
  <rv s="4">
    <fb>1.0389999999999999</fb>
    <v>10</v>
  </rv>
  <rv s="4">
    <fb>45780</fb>
    <v>9</v>
  </rv>
  <rv s="4">
    <fb>97069.79</fb>
    <v>10</v>
  </rv>
  <rv s="4">
    <fb>97079.02</fb>
    <v>10</v>
  </rv>
  <rv s="4">
    <fb>95905.26</fb>
    <v>10</v>
  </rv>
  <rv s="4">
    <fb>96352.02</fb>
    <v>10</v>
  </rv>
  <rv s="4">
    <fb>45686</fb>
    <v>9</v>
  </rv>
  <rv s="4">
    <fb>1.042</fb>
    <v>10</v>
  </rv>
  <rv s="4">
    <fb>96458.22</fb>
    <v>10</v>
  </rv>
  <rv s="4">
    <fb>97913.35</fb>
    <v>10</v>
  </rv>
  <rv s="4">
    <fb>96233.88</fb>
    <v>10</v>
  </rv>
  <rv s="4">
    <fb>97065.5</fb>
    <v>10</v>
  </rv>
  <rv s="4">
    <fb>45685</fb>
    <v>9</v>
  </rv>
  <rv s="4">
    <fb>1.0427999999999999</fb>
    <v>10</v>
  </rv>
  <rv s="4">
    <fb>94602</fb>
    <v>10</v>
  </rv>
  <rv s="4">
    <fb>97473.88</fb>
    <v>10</v>
  </rv>
  <rv s="4">
    <fb>94041.600000000006</fb>
    <v>10</v>
  </rv>
  <rv s="4">
    <fb>96479.92</fb>
    <v>10</v>
  </rv>
  <rv s="4">
    <fb>45684</fb>
    <v>9</v>
  </rv>
  <rv s="4">
    <fb>94866.19</fb>
    <v>10</v>
  </rv>
  <rv s="4">
    <fb>95242.38</fb>
    <v>10</v>
  </rv>
  <rv s="4">
    <fb>92956.56</fb>
    <v>10</v>
  </rv>
  <rv s="4">
    <fb>94584.43</fb>
    <v>10</v>
  </rv>
  <rv s="4">
    <fb>45681</fb>
    <v>9</v>
  </rv>
  <rv s="4">
    <fb>1.0492999999999999</fb>
    <v>10</v>
  </rv>
  <rv s="4">
    <fb>94506.93</fb>
    <v>10</v>
  </rv>
  <rv s="4">
    <fb>95481.41</fb>
    <v>10</v>
  </rv>
  <rv s="4">
    <fb>94259.01</fb>
    <v>10</v>
  </rv>
  <rv s="4">
    <fb>94879.38</fb>
    <v>10</v>
  </rv>
  <rv s="4">
    <fb>45680</fb>
    <v>9</v>
  </rv>
  <rv s="4">
    <fb>1.0415000000000001</fb>
    <v>10</v>
  </rv>
  <rv s="4">
    <fb>94312.53</fb>
    <v>10</v>
  </rv>
  <rv s="4">
    <fb>95608.25</fb>
    <v>10</v>
  </rv>
  <rv s="4">
    <fb>92877.47</fb>
    <v>10</v>
  </rv>
  <rv s="4">
    <fb>94515.06</fb>
    <v>10</v>
  </rv>
  <rv s="4">
    <fb>45679</fb>
    <v>9</v>
  </rv>
  <rv s="4">
    <fb>1.0407</fb>
    <v>10</v>
  </rv>
  <rv s="4">
    <fb>45774</fb>
    <v>9</v>
  </rv>
  <rv s="4">
    <fb>94158.54</fb>
    <v>10</v>
  </rv>
  <rv s="4">
    <fb>95357.88</fb>
    <v>10</v>
  </rv>
  <rv s="4">
    <fb>93681.02</fb>
    <v>10</v>
  </rv>
  <rv s="4">
    <fb>94312.21</fb>
    <v>10</v>
  </rv>
  <rv s="4">
    <fb>45678</fb>
    <v>9</v>
  </rv>
  <rv s="4">
    <fb>1.0428999999999999</fb>
    <v>10</v>
  </rv>
  <rv s="4">
    <fb>45773</fb>
    <v>9</v>
  </rv>
  <rv s="4">
    <fb>94959.15</fb>
    <v>10</v>
  </rv>
  <rv s="4">
    <fb>95244.64</fb>
    <v>10</v>
  </rv>
  <rv s="4">
    <fb>93946.18</fb>
    <v>10</v>
  </rv>
  <rv s="4">
    <fb>94145.74</fb>
    <v>10</v>
  </rv>
  <rv s="4">
    <fb>45677</fb>
    <v>9</v>
  </rv>
  <rv s="4">
    <fb>1.0414000000000001</fb>
    <v>10</v>
  </rv>
  <rv s="4">
    <fb>93494.76</fb>
    <v>10</v>
  </rv>
  <rv s="4">
    <fb>95829.99</fb>
    <v>10</v>
  </rv>
  <rv s="4">
    <fb>92896.62</fb>
    <v>10</v>
  </rv>
  <rv s="4">
    <fb>94965.92</fb>
    <v>10</v>
  </rv>
  <rv s="4">
    <fb>45674</fb>
    <v>9</v>
  </rv>
  <rv s="4">
    <fb>1.0270999999999999</fb>
    <v>10</v>
  </rv>
  <rv s="4">
    <fb>93657.36</fb>
    <v>10</v>
  </rv>
  <rv s="4">
    <fb>93907.63</fb>
    <v>10</v>
  </rv>
  <rv s="4">
    <fb>91702.39</fb>
    <v>10</v>
  </rv>
  <rv s="4">
    <fb>93494.51</fb>
    <v>10</v>
  </rv>
  <rv s="4">
    <fb>45673</fb>
    <v>9</v>
  </rv>
  <rv s="4">
    <fb>1.0298</fb>
    <v>10</v>
  </rv>
  <rv s="4">
    <fb>91157.99</fb>
    <v>10</v>
  </rv>
  <rv s="4">
    <fb>94489.919999999998</fb>
    <v>10</v>
  </rv>
  <rv s="4">
    <fb>91086.29</fb>
    <v>10</v>
  </rv>
  <rv s="4">
    <fb>93681.43</fb>
    <v>10</v>
  </rv>
  <rv s="4">
    <fb>45672</fb>
    <v>9</v>
  </rv>
  <rv s="4">
    <fb>1.0288999999999999</fb>
    <v>10</v>
  </rv>
  <rv s="4">
    <fb>87368.62</fb>
    <v>10</v>
  </rv>
  <rv s="4">
    <fb>91720.960000000006</fb>
    <v>10</v>
  </rv>
  <rv s="4">
    <fb>86965.34</fb>
    <v>10</v>
  </rv>
  <rv s="4">
    <fb>91158.77</fb>
    <v>10</v>
  </rv>
  <rv s="4">
    <fb>45671</fb>
    <v>9</v>
  </rv>
  <rv s="4">
    <fb>1.0306999999999999</fb>
    <v>10</v>
  </rv>
  <rv s="4">
    <fb>85136.12</fb>
    <v>10</v>
  </rv>
  <rv s="4">
    <fb>88485.14</fb>
    <v>10</v>
  </rv>
  <rv s="4">
    <fb>84668.87</fb>
    <v>10</v>
  </rv>
  <rv s="4">
    <fb>87334.25</fb>
    <v>10</v>
  </rv>
  <rv s="4">
    <fb>45670</fb>
    <v>9</v>
  </rv>
  <rv s="4">
    <fb>1.0244</fb>
    <v>10</v>
  </rv>
  <rv s="4">
    <fb>45767</fb>
    <v>9</v>
  </rv>
  <rv s="4">
    <fb>85170.18</fb>
    <v>10</v>
  </rv>
  <rv s="4">
    <fb>85364.26</fb>
    <v>10</v>
  </rv>
  <rv s="4">
    <fb>83975.13</fb>
    <v>10</v>
  </rv>
  <rv s="4">
    <fb>85083.24</fb>
    <v>10</v>
  </rv>
  <rv s="4">
    <fb>45667</fb>
    <v>9</v>
  </rv>
  <rv s="4">
    <fb>45766</fb>
    <v>9</v>
  </rv>
  <rv s="4">
    <fb>84486.61</fb>
    <v>10</v>
  </rv>
  <rv s="4">
    <fb>85589.55</fb>
    <v>10</v>
  </rv>
  <rv s="4">
    <fb>84356.08</fb>
    <v>10</v>
  </rv>
  <rv s="4">
    <fb>85200.27</fb>
    <v>10</v>
  </rv>
  <rv s="4">
    <fb>45666</fb>
    <v>9</v>
  </rv>
  <rv s="4">
    <fb>85137.73</fb>
    <v>10</v>
  </rv>
  <rv s="4">
    <fb>84323.89</fb>
    <v>10</v>
  </rv>
  <rv s="4">
    <fb>84491.51</fb>
    <v>10</v>
  </rv>
  <rv s="4">
    <fb>45665</fb>
    <v>9</v>
  </rv>
  <rv s="4">
    <fb>1.0318000000000001</fb>
    <v>10</v>
  </rv>
  <rv s="4">
    <fb>84302.97</fb>
    <v>10</v>
  </rv>
  <rv s="4">
    <fb>85461.61</fb>
    <v>10</v>
  </rv>
  <rv s="4">
    <fb>83753.84</fb>
    <v>10</v>
  </rv>
  <rv s="4">
    <fb>85141.71</fb>
    <v>10</v>
  </rv>
  <rv s="4">
    <fb>45664</fb>
    <v>9</v>
  </rv>
  <rv s="4">
    <fb>1.0339</fb>
    <v>10</v>
  </rv>
  <rv s="4">
    <fb>84015.83</fb>
    <v>10</v>
  </rv>
  <rv s="4">
    <fb>85441.53</fb>
    <v>10</v>
  </rv>
  <rv s="4">
    <fb>83113.39</fb>
    <v>10</v>
  </rv>
  <rv s="4">
    <fb>84297.88</fb>
    <v>10</v>
  </rv>
  <rv s="4">
    <fb>45663</fb>
    <v>9</v>
  </rv>
  <rv s="4">
    <fb>84850.33</fb>
    <v>10</v>
  </rv>
  <rv s="4">
    <fb>86434.2</fb>
    <v>10</v>
  </rv>
  <rv s="4">
    <fb>83821.67</fb>
    <v>10</v>
  </rv>
  <rv s="4">
    <fb>83996.68</fb>
    <v>10</v>
  </rv>
  <rv s="4">
    <fb>45660</fb>
    <v>9</v>
  </rv>
  <rv s="4">
    <fb>1.0307999999999999</fb>
    <v>10</v>
  </rv>
  <rv s="4">
    <fb>83449.539999999994</fb>
    <v>10</v>
  </rv>
  <rv s="4">
    <fb>85781.59</fb>
    <v>10</v>
  </rv>
  <rv s="4">
    <fb>83038.039999999994</fb>
    <v>10</v>
  </rv>
  <rv s="4">
    <fb>84881.05</fb>
    <v>10</v>
  </rv>
  <rv s="4">
    <fb>45659</fb>
    <v>9</v>
  </rv>
  <rv s="4">
    <fb>1.0265</fb>
    <v>10</v>
  </rv>
  <rv s="4">
    <fb>45760</fb>
    <v>9</v>
  </rv>
  <rv s="4">
    <fb>85505.39</fb>
    <v>10</v>
  </rv>
  <rv s="4">
    <fb>86042.76</fb>
    <v>10</v>
  </rv>
  <rv s="4">
    <fb>83108.59</fb>
    <v>10</v>
  </rv>
  <rv s="4">
    <fb>83482.740000000005</fb>
    <v>10</v>
  </rv>
  <rv s="4">
    <fb>45658</fb>
    <v>9</v>
  </rv>
  <rv s="4">
    <fb>1.0355000000000001</fb>
    <v>10</v>
  </rv>
  <rv s="4">
    <fb>45759</fb>
    <v>9</v>
  </rv>
  <rv s="4">
    <fb>83819.55</fb>
    <v>10</v>
  </rv>
  <rv s="4">
    <fb>85864.57</fb>
    <v>10</v>
  </rv>
  <rv s="4">
    <fb>82769.14</fb>
    <v>10</v>
  </rv>
  <rv s="4">
    <fb>85507.77</fb>
    <v>10</v>
  </rv>
  <rv s="4">
    <fb>45657</fb>
    <v>9</v>
  </rv>
  <rv s="4">
    <fb>1.0353000000000001</fb>
    <v>10</v>
  </rv>
  <rv s="4">
    <fb>79909.08</fb>
    <v>10</v>
  </rv>
  <rv s="4">
    <fb>84172.58</fb>
    <v>10</v>
  </rv>
  <rv s="4">
    <fb>78951.13</fb>
    <v>10</v>
  </rv>
  <rv s="4">
    <fb>83828.03</fb>
    <v>10</v>
  </rv>
  <rv s="4">
    <fb>45656</fb>
    <v>9</v>
  </rv>
  <rv s="4">
    <fb>83198.210000000006</fb>
    <v>10</v>
  </rv>
  <rv s="4">
    <fb>83548.039999999994</fb>
    <v>10</v>
  </rv>
  <rv s="4">
    <fb>78428.89</fb>
    <v>10</v>
  </rv>
  <rv s="4">
    <fb>79876.91</fb>
    <v>10</v>
  </rv>
  <rv s="4">
    <fb>77113.279999999999</fb>
    <v>10</v>
  </rv>
  <rv s="4">
    <fb>83209.320000000007</fb>
    <v>10</v>
  </rv>
  <rv s="4">
    <fb>74609.119999999995</fb>
    <v>10</v>
  </rv>
  <rv s="4">
    <fb>83199.83</fb>
    <v>10</v>
  </rv>
  <rv s="4">
    <fb>78917.289999999994</fb>
    <v>10</v>
  </rv>
  <rv s="4">
    <fb>80828.94</fb>
    <v>10</v>
  </rv>
  <rv s="4">
    <fb>76312.98</fb>
    <v>10</v>
  </rv>
  <rv s="4">
    <fb>77038.03</fb>
    <v>10</v>
  </rv>
  <rv s="4">
    <fb>78805.3</fb>
    <v>10</v>
  </rv>
  <rv s="4">
    <fb>81145.75</fb>
    <v>10</v>
  </rv>
  <rv s="4">
    <fb>74445.789999999994</fb>
    <v>10</v>
  </rv>
  <rv s="4">
    <fb>78917.52</fb>
    <v>10</v>
  </rv>
  <rv s="4">
    <fb>45753</fb>
    <v>9</v>
  </rv>
  <rv s="4">
    <fb>83046.41</fb>
    <v>10</v>
  </rv>
  <rv s="4">
    <fb>83732.73</fb>
    <v>10</v>
  </rv>
  <rv s="4">
    <fb>78565.34</fb>
    <v>10</v>
  </rv>
  <rv s="4">
    <fb>78808.77</fb>
    <v>10</v>
  </rv>
  <rv s="4">
    <fb>45752</fb>
    <v>9</v>
  </rv>
  <rv s="4">
    <fb>84142.78</fb>
    <v>10</v>
  </rv>
  <rv s="4">
    <fb>84416.14</fb>
    <v>10</v>
  </rv>
  <rv s="4">
    <fb>82379.3</fb>
    <v>10</v>
  </rv>
  <rv s="4">
    <fb>83042.600000000006</fb>
    <v>10</v>
  </rv>
  <rv s="4">
    <fb>82357.52</fb>
    <v>10</v>
  </rv>
  <rv s="4">
    <fb>84701.92</fb>
    <v>10</v>
  </rv>
  <rv s="4">
    <fb>81677.11</fb>
    <v>10</v>
  </rv>
  <rv s="4">
    <fb>84128.75</fb>
    <v>10</v>
  </rv>
  <rv s="4">
    <fb>85736.87</fb>
    <v>10</v>
  </rv>
  <rv s="4">
    <fb>81289.84</fb>
    <v>10</v>
  </rv>
  <rv s="4">
    <fb>82333.240000000005</fb>
    <v>10</v>
  </rv>
  <rv s="4">
    <fb>85254.12</fb>
    <v>10</v>
  </rv>
  <rv s="4">
    <fb>88393.8</fb>
    <v>10</v>
  </rv>
  <rv s="4">
    <fb>83933.61</fb>
    <v>10</v>
  </rv>
  <rv s="4">
    <fb>85665.98</fb>
    <v>10</v>
  </rv>
  <rv s="4">
    <fb>82439.490000000005</fb>
    <v>10</v>
  </rv>
  <rv s="4">
    <fb>85484.54</fb>
    <v>10</v>
  </rv>
  <rv s="4">
    <fb>82255.83</fb>
    <v>10</v>
  </rv>
  <rv s="4">
    <fb>85239.86</fb>
    <v>10</v>
  </rv>
  <rv s="4">
    <fb>82605.759999999995</fb>
    <v>10</v>
  </rv>
  <rv s="4">
    <fb>83902.73</fb>
    <v>10</v>
  </rv>
  <rv s="4">
    <fb>81311.67</fb>
    <v>10</v>
  </rv>
  <rv s="4">
    <fb>82437.86</fb>
    <v>10</v>
  </rv>
  <rv s="4">
    <fb>45746</fb>
    <v>9</v>
  </rv>
  <rv s="4">
    <fb>82519.47</fb>
    <v>10</v>
  </rv>
  <rv s="4">
    <fb>83531.3</fb>
    <v>10</v>
  </rv>
  <rv s="4">
    <fb>82065.820000000007</fb>
    <v>10</v>
  </rv>
  <rv s="4">
    <fb>82547.94</fb>
    <v>10</v>
  </rv>
  <rv s="4">
    <fb>45745</fb>
    <v>9</v>
  </rv>
  <rv s="4">
    <fb>83797.27</fb>
    <v>10</v>
  </rv>
  <rv s="4">
    <fb>84592.48</fb>
    <v>10</v>
  </rv>
  <rv s="4">
    <fb>81650.429999999993</fb>
    <v>10</v>
  </rv>
  <rv s="4">
    <fb>82506.080000000002</fb>
    <v>10</v>
  </rv>
  <rv s="4">
    <fb>87305.52</fb>
    <v>10</v>
  </rv>
  <rv s="4">
    <fb>87711.63</fb>
    <v>10</v>
  </rv>
  <rv s="4">
    <fb>83588.75</fb>
    <v>10</v>
  </rv>
  <rv s="4">
    <fb>83793.95</fb>
    <v>10</v>
  </rv>
  <rv s="4">
    <fb>87307.37</fb>
    <v>10</v>
  </rv>
  <rv s="4">
    <fb>87777.94</fb>
    <v>10</v>
  </rv>
  <rv s="4">
    <fb>85863.17</fb>
    <v>10</v>
  </rv>
  <rv s="4">
    <fb>87305.09</fb>
    <v>10</v>
  </rv>
  <rv s="4">
    <fb>87906.04</fb>
    <v>10</v>
  </rv>
  <rv s="4">
    <fb>88300.37</fb>
    <v>10</v>
  </rv>
  <rv s="4">
    <fb>85892.57</fb>
    <v>10</v>
  </rv>
  <rv s="4">
    <fb>87273.75</fb>
    <v>10</v>
  </rv>
  <rv s="4">
    <fb>87887.82</fb>
    <v>10</v>
  </rv>
  <rv s="4">
    <fb>88555.93</fb>
    <v>10</v>
  </rv>
  <rv s="4">
    <fb>86350.54</fb>
    <v>10</v>
  </rv>
  <rv s="4">
    <fb>87895.58</fb>
    <v>10</v>
  </rv>
  <rv s="4">
    <fb>85123.61</fb>
    <v>10</v>
  </rv>
  <rv s="4">
    <fb>88771.75</fb>
    <v>10</v>
  </rv>
  <rv s="4">
    <fb>84965.73</fb>
    <v>10</v>
  </rv>
  <rv s="4">
    <fb>87896.62</fb>
    <v>10</v>
  </rv>
  <rv s="4">
    <fb>45739</fb>
    <v>9</v>
  </rv>
  <rv s="4">
    <fb>83952.1</fb>
    <v>10</v>
  </rv>
  <rv s="4">
    <fb>85401.7</fb>
    <v>10</v>
  </rv>
  <rv s="4">
    <fb>83687.98</fb>
    <v>10</v>
  </rv>
  <rv s="4">
    <fb>85152.85</fb>
    <v>10</v>
  </rv>
  <rv s="4">
    <fb>45738</fb>
    <v>9</v>
  </rv>
  <rv s="4">
    <fb>84200.74</fb>
    <v>10</v>
  </rv>
  <rv s="4">
    <fb>84555.88</fb>
    <v>10</v>
  </rv>
  <rv s="4">
    <fb>83942.15</fb>
    <v>10</v>
  </rv>
  <rv s="4">
    <fb>84522.2</fb>
    <v>10</v>
  </rv>
  <rv s="4">
    <fb>84818.85</fb>
    <v>10</v>
  </rv>
  <rv s="4">
    <fb>83194.69</fb>
    <v>10</v>
  </rv>
  <rv s="4">
    <fb>84177.600000000006</fb>
    <v>10</v>
  </rv>
  <rv s="4">
    <fb>85395.6</fb>
    <v>10</v>
  </rv>
  <rv s="4">
    <fb>87462.57</fb>
    <v>10</v>
  </rv>
  <rv s="4">
    <fb>83652.59</fb>
    <v>10</v>
  </rv>
  <rv s="4">
    <fb>84511.88</fb>
    <v>10</v>
  </rv>
  <rv s="4">
    <fb>82029.94</fb>
    <v>10</v>
  </rv>
  <rv s="4">
    <fb>85959.16</fb>
    <v>10</v>
  </rv>
  <rv s="4">
    <fb>81925.429999999993</fb>
    <v>10</v>
  </rv>
  <rv s="4">
    <fb>85375.679999999993</fb>
    <v>10</v>
  </rv>
  <rv s="4">
    <fb>83981.32</fb>
    <v>10</v>
  </rv>
  <rv s="4">
    <fb>84263.34</fb>
    <v>10</v>
  </rv>
  <rv s="4">
    <fb>81184.42</fb>
    <v>10</v>
  </rv>
  <rv s="4">
    <fb>82014.679999999993</fb>
    <v>10</v>
  </rv>
  <rv s="4">
    <fb>83234.53</fb>
    <v>10</v>
  </rv>
  <rv s="4">
    <fb>84746.78</fb>
    <v>10</v>
  </rv>
  <rv s="4">
    <fb>82035.990000000005</fb>
    <v>10</v>
  </rv>
  <rv s="4">
    <fb>83974.87</fb>
    <v>10</v>
  </rv>
  <rv s="4">
    <fb>45732</fb>
    <v>9</v>
  </rv>
  <rv s="4">
    <fb>84418.12</fb>
    <v>10</v>
  </rv>
  <rv s="4">
    <fb>84942.95</fb>
    <v>10</v>
  </rv>
  <rv s="4">
    <fb>82424.08</fb>
    <v>10</v>
  </rv>
  <rv s="4">
    <fb>83234.83</fb>
    <v>10</v>
  </rv>
  <rv s="4">
    <fb>45731</fb>
    <v>9</v>
  </rv>
  <rv s="4">
    <fb>84176.13</fb>
    <v>10</v>
  </rv>
  <rv s="4">
    <fb>84709.33</fb>
    <v>10</v>
  </rv>
  <rv s="4">
    <fb>83677.22</fb>
    <v>10</v>
  </rv>
  <rv s="4">
    <fb>84406.38</fb>
    <v>10</v>
  </rv>
  <rv s="4">
    <fb>80370.52</fb>
    <v>10</v>
  </rv>
  <rv s="4">
    <fb>85310.85</fb>
    <v>10</v>
  </rv>
  <rv s="4">
    <fb>80288.479999999996</fb>
    <v>10</v>
  </rv>
  <rv s="4">
    <fb>84175.66</fb>
    <v>10</v>
  </rv>
  <rv s="4">
    <fb>83142</fb>
    <v>10</v>
  </rv>
  <rv s="4">
    <fb>84312.16</fb>
    <v>10</v>
  </rv>
  <rv s="4">
    <fb>79948.5</fb>
    <v>10</v>
  </rv>
  <rv s="4">
    <fb>80350.460000000006</fb>
    <v>10</v>
  </rv>
  <rv s="4">
    <fb>82829.899999999994</fb>
    <v>10</v>
  </rv>
  <rv s="4">
    <fb>84326.77</fb>
    <v>10</v>
  </rv>
  <rv s="4">
    <fb>80661.86</fb>
    <v>10</v>
  </rv>
  <rv s="4">
    <fb>83142.92</fb>
    <v>10</v>
  </rv>
  <rv s="4">
    <fb>79298.86</fb>
    <v>10</v>
  </rv>
  <rv s="4">
    <fb>83614.899999999994</fb>
    <v>10</v>
  </rv>
  <rv s="4">
    <fb>76666.98</fb>
    <v>10</v>
  </rv>
  <rv s="4">
    <fb>82815</fb>
    <v>10</v>
  </rv>
  <rv s="4">
    <fb>83058.320000000007</fb>
    <v>10</v>
  </rv>
  <rv s="4">
    <fb>83890.27</fb>
    <v>10</v>
  </rv>
  <rv s="4">
    <fb>77411.83</fb>
    <v>10</v>
  </rv>
  <rv s="4">
    <fb>79277</fb>
    <v>10</v>
  </rv>
  <rv s="4">
    <fb>45725</fb>
    <v>9</v>
  </rv>
  <rv s="4">
    <fb>86263.67</fb>
    <v>10</v>
  </rv>
  <rv s="4">
    <fb>86477.1</fb>
    <v>10</v>
  </rv>
  <rv s="4">
    <fb>82233.119999999995</fb>
    <v>10</v>
  </rv>
  <rv s="4">
    <fb>83080.22</fb>
    <v>10</v>
  </rv>
  <rv s="4">
    <fb>45724</fb>
    <v>9</v>
  </rv>
  <rv s="4">
    <fb>86306.13</fb>
    <v>10</v>
  </rv>
  <rv s="4">
    <fb>86883.05</fb>
    <v>10</v>
  </rv>
  <rv s="4">
    <fb>85180.160000000003</fb>
    <v>10</v>
  </rv>
  <rv s="4">
    <fb>86206.18</fb>
    <v>10</v>
  </rv>
  <rv s="4">
    <fb>90023.91</fb>
    <v>10</v>
  </rv>
  <rv s="4">
    <fb>91168.62</fb>
    <v>10</v>
  </rv>
  <rv s="4">
    <fb>84838.57</fb>
    <v>10</v>
  </rv>
  <rv s="4">
    <fb>86273.68</fb>
    <v>10</v>
  </rv>
  <rv s="4">
    <fb>90412.51</fb>
    <v>10</v>
  </rv>
  <rv s="4">
    <fb>92804.67</fb>
    <v>10</v>
  </rv>
  <rv s="4">
    <fb>87869.82</fb>
    <v>10</v>
  </rv>
  <rv s="4">
    <fb>89475.1</fb>
    <v>10</v>
  </rv>
  <rv s="4">
    <fb>87519.11</fb>
    <v>10</v>
  </rv>
  <rv s="4">
    <fb>90898.64</fb>
    <v>10</v>
  </rv>
  <rv s="4">
    <fb>86409.91</fb>
    <v>10</v>
  </rv>
  <rv s="4">
    <fb>90406.99</fb>
    <v>10</v>
  </rv>
  <rv s="4">
    <fb>85316.2</fb>
    <v>10</v>
  </rv>
  <rv s="4">
    <fb>88904.15</fb>
    <v>10</v>
  </rv>
  <rv s="4">
    <fb>81548.210000000006</fb>
    <v>10</v>
  </rv>
  <rv s="4">
    <fb>87516.17</fb>
    <v>10</v>
  </rv>
  <rv s="4">
    <fb>94307.99</fb>
    <v>10</v>
  </rv>
  <rv s="4">
    <fb>94852.56</fb>
    <v>10</v>
  </rv>
  <rv s="4">
    <fb>85123.33</fb>
    <v>10</v>
  </rv>
  <rv s="4">
    <fb>85290.62</fb>
    <v>10</v>
  </rv>
  <rv s="4">
    <fb>45718</fb>
    <v>9</v>
  </rv>
  <rv s="4">
    <fb>86045.06</fb>
    <v>10</v>
  </rv>
  <rv s="4">
    <fb>94986.44</fb>
    <v>10</v>
  </rv>
  <rv s="4">
    <fb>85047.56</fb>
    <v>10</v>
  </rv>
  <rv s="4">
    <fb>94284.67</fb>
    <v>10</v>
  </rv>
  <rv s="4">
    <fb>45717</fb>
    <v>9</v>
  </rv>
  <rv s="4">
    <fb>84299.31</fb>
    <v>10</v>
  </rv>
  <rv s="4">
    <fb>85090.09</fb>
    <v>10</v>
  </rv>
  <rv s="4">
    <fb>78273.03</fb>
    <v>10</v>
  </rv>
  <rv s="4">
    <fb>84252.78</fb>
    <v>10</v>
  </rv>
  <rv s="4">
    <fb>84473.919999999998</fb>
    <v>10</v>
  </rv>
  <rv s="4">
    <fb>87004.86</fb>
    <v>10</v>
  </rv>
  <rv s="4">
    <fb>82543.649999999994</fb>
    <v>10</v>
  </rv>
  <rv s="4">
    <fb>84294.48</fb>
    <v>10</v>
  </rv>
  <rv s="4">
    <fb>88706.67</fb>
    <v>10</v>
  </rv>
  <rv s="4">
    <fb>89402.34</fb>
    <v>10</v>
  </rv>
  <rv s="4">
    <fb>82156.990000000005</fb>
    <v>10</v>
  </rv>
  <rv s="4">
    <fb>84454.71</fb>
    <v>10</v>
  </rv>
  <rv s="4">
    <fb>93997.17</fb>
    <v>10</v>
  </rv>
  <rv s="4">
    <fb>86003.11</fb>
    <v>10</v>
  </rv>
  <rv s="4">
    <fb>88680.81</fb>
    <v>10</v>
  </rv>
  <rv s="4">
    <fb>95678.5</fb>
    <v>10</v>
  </rv>
  <rv s="4">
    <fb>96515.9</fb>
    <v>10</v>
  </rv>
  <rv s="4">
    <fb>93642.49</fb>
    <v>10</v>
  </rv>
  <rv s="4">
    <fb>93978.86</fb>
    <v>10</v>
  </rv>
  <rv s="4">
    <fb>45710</fb>
    <v>9</v>
  </rv>
  <rv s="4">
    <fb>98136.92</fb>
    <v>10</v>
  </rv>
  <rv s="4">
    <fb>99502.96</fb>
    <v>10</v>
  </rv>
  <rv s="4">
    <fb>94872.28</fb>
    <v>10</v>
  </rv>
  <rv s="4">
    <fb>95355.42</fb>
    <v>10</v>
  </rv>
  <rv s="4">
    <fb>96330.9</fb>
    <v>10</v>
  </rv>
  <rv s="4">
    <fb>98757.23</fb>
    <v>10</v>
  </rv>
  <rv s="4">
    <fb>98136.13</fb>
    <v>10</v>
  </rv>
  <rv s="4">
    <fb>95044.08</fb>
    <v>10</v>
  </rv>
  <rv s="4">
    <fb>96694.56</fb>
    <v>10</v>
  </rv>
  <rv s="4">
    <fb>94846.74</fb>
    <v>10</v>
  </rv>
  <rv s="4">
    <fb>96317.06</fb>
    <v>10</v>
  </rv>
  <rv s="4">
    <fb>96429.84</fb>
    <v>10</v>
  </rv>
  <rv s="4">
    <fb>96711.82</fb>
    <v>10</v>
  </rv>
  <rv s="4">
    <fb>93375.16</fb>
    <v>10</v>
  </rv>
  <rv s="4">
    <fb>95038.01</fb>
    <v>10</v>
  </rv>
  <rv s="4">
    <fb>96983.4</fb>
    <v>10</v>
  </rv>
  <rv s="4">
    <fb>97252.66</fb>
    <v>10</v>
  </rv>
  <rv s="4">
    <fb>95266.93</fb>
    <v>10</v>
  </rv>
  <rv s="4">
    <fb>96439.03</fb>
    <v>10</v>
  </rv>
  <rv s="4">
    <fb>45704</fb>
    <v>9</v>
  </rv>
  <rv s="4">
    <fb>97686.52</fb>
    <v>10</v>
  </rv>
  <rv s="4">
    <fb>97735.51</fb>
    <v>10</v>
  </rv>
  <rv s="4">
    <fb>96696.51</fb>
    <v>10</v>
  </rv>
  <rv s="4">
    <fb>97173.52</fb>
    <v>10</v>
  </rv>
  <rv s="4">
    <fb>96533.440000000002</fb>
    <v>10</v>
  </rv>
  <rv s="4">
    <fb>98834.63</fb>
    <v>10</v>
  </rv>
  <rv s="4">
    <fb>96309.52</fb>
    <v>10</v>
  </rv>
  <rv s="4">
    <fb>97501.29</fb>
    <v>10</v>
  </rv>
  <rv s="4">
    <fb>97689.05</fb>
    <v>10</v>
  </rv>
  <rv s="4">
    <fb>98099.34</fb>
    <v>10</v>
  </rv>
  <rv s="4">
    <fb>95284.24</fb>
    <v>10</v>
  </rv>
  <rv s="4">
    <fb>96507.3</fb>
    <v>10</v>
  </rv>
  <rv s="4">
    <fb>96356.63</fb>
    <v>10</v>
  </rv>
  <rv s="4">
    <fb>97925.73</fb>
    <v>10</v>
  </rv>
  <rv s="4">
    <fb>94121.16</fb>
    <v>10</v>
  </rv>
  <rv s="4">
    <fb>97683.32</fb>
    <v>10</v>
  </rv>
  <rv s="4">
    <fb>97412.52</fb>
    <v>10</v>
  </rv>
  <rv s="4">
    <fb>98497.52</fb>
    <v>10</v>
  </rv>
  <rv s="4">
    <fb>94902.07</fb>
    <v>10</v>
  </rv>
  <rv s="4">
    <fb>96394.240000000005</fb>
    <v>10</v>
  </rv>
  <rv s="4">
    <fb>96101.440000000002</fb>
    <v>10</v>
  </rv>
  <rv s="4">
    <fb>98347.49</fb>
    <v>10</v>
  </rv>
  <rv s="4">
    <fb>94807.96</fb>
    <v>10</v>
  </rv>
  <rv s="4">
    <fb>97410</fb>
    <v>10</v>
  </rv>
  <rv s="4">
    <fb>45697</fb>
    <v>9</v>
  </rv>
  <rv s="4">
    <fb>2.4241000000000001</fb>
    <v>10</v>
  </rv>
  <rv s="4">
    <fb>2.5057999999999998</fb>
    <v>10</v>
  </rv>
  <rv s="4">
    <fb>2.3123</fb>
    <v>10</v>
  </rv>
  <rv s="4">
    <fb>2.3416999999999999</fb>
    <v>10</v>
  </rv>
  <rv s="4">
    <fb>45696</fb>
    <v>9</v>
  </rv>
  <rv s="4">
    <fb>96821.23</fb>
    <v>10</v>
  </rv>
  <rv s="4">
    <fb>100189.08</fb>
    <v>10</v>
  </rv>
  <rv s="4">
    <fb>95695.24</fb>
    <v>10</v>
  </rv>
  <rv s="4">
    <fb>96016.62</fb>
    <v>10</v>
  </rv>
  <rv s="4">
    <fb>96899.92</fb>
    <v>10</v>
  </rv>
  <rv s="4">
    <fb>99167.41</fb>
    <v>10</v>
  </rv>
  <rv s="4">
    <fb>95759.48</fb>
    <v>10</v>
  </rv>
  <rv s="4">
    <fb>96818.93</fb>
    <v>10</v>
  </rv>
  <rv s="4">
    <fb>96474.29</fb>
    <v>10</v>
  </rv>
  <rv s="4">
    <fb>99143.81</fb>
    <v>10</v>
  </rv>
  <rv s="4">
    <fb>96184.53</fb>
    <v>10</v>
  </rv>
  <rv s="4">
    <fb>96929.21</fb>
    <v>10</v>
  </rv>
  <rv s="4">
    <fb>101900.03</fb>
    <v>10</v>
  </rv>
  <rv s="4">
    <fb>102523.41</fb>
    <v>10</v>
  </rv>
  <rv s="4">
    <fb>96503.88</fb>
    <v>10</v>
  </rv>
  <rv s="4">
    <fb>97062.79</fb>
    <v>10</v>
  </rv>
  <rv s="4">
    <fb>102046.86</fb>
    <v>10</v>
  </rv>
  <rv s="4">
    <fb>91439.89</fb>
    <v>10</v>
  </rv>
  <rv s="4">
    <fb>101868.58</fb>
    <v>10</v>
  </rv>
  <rv s="4">
    <fb>45690</fb>
    <v>9</v>
  </rv>
  <rv s="4">
    <fb>101203.33</fb>
    <v>10</v>
  </rv>
  <rv s="4">
    <fb>101448.31</fb>
    <v>10</v>
  </rv>
  <rv s="4">
    <fb>96606.97</fb>
    <v>10</v>
  </rv>
  <rv s="4">
    <fb>96955.6</fb>
    <v>10</v>
  </rv>
  <rv s="4">
    <fb>105064.16</fb>
    <v>10</v>
  </rv>
  <rv s="4">
    <fb>106016.94</fb>
    <v>10</v>
  </rv>
  <rv s="4">
    <fb>101566.86</fb>
    <v>10</v>
  </rv>
  <rv s="4">
    <fb>102146.15</fb>
    <v>10</v>
  </rv>
  <rv s="4">
    <fb>103772.21</fb>
    <v>10</v>
  </rv>
  <rv s="4">
    <fb>106440.13</fb>
    <v>10</v>
  </rv>
  <rv s="4">
    <fb>103372.74</fb>
    <v>10</v>
  </rv>
  <rv s="4">
    <fb>105049.72</fb>
    <v>10</v>
  </rv>
  <rv s="4">
    <fb>100321.98</fb>
    <v>10</v>
  </rv>
  <rv s="4">
    <fb>104774.26</fb>
    <v>10</v>
  </rv>
  <rv s="4">
    <fb>100241.01</fb>
    <v>10</v>
  </rv>
  <rv s="4">
    <fb>103763.52</fb>
    <v>10</v>
  </rv>
  <rv s="4">
    <fb>101415.3</fb>
    <v>10</v>
  </rv>
  <rv s="4">
    <fb>103661.44</fb>
    <v>10</v>
  </rv>
  <rv s="4">
    <fb>100254.05</fb>
    <v>10</v>
  </rv>
  <rv s="4">
    <fb>100324.82</fb>
    <v>10</v>
  </rv>
  <rv s="4">
    <fb>104926.3</fb>
    <v>10</v>
  </rv>
  <rv s="4">
    <fb>105226.44</fb>
    <v>10</v>
  </rv>
  <rv s="4">
    <fb>97810.5</fb>
    <v>10</v>
  </rv>
  <rv s="4">
    <fb>101350.81</fb>
    <v>10</v>
  </rv>
  <rv s="4">
    <fb>45683</fb>
    <v>9</v>
  </rv>
  <rv s="4">
    <fb>105094.59</fb>
    <v>10</v>
  </rv>
  <rv s="4">
    <fb>105432.46</fb>
    <v>10</v>
  </rv>
  <rv s="4">
    <fb>104467.09</fb>
    <v>10</v>
  </rv>
  <rv s="4">
    <fb>104620.34</fb>
    <v>10</v>
  </rv>
  <rv s="4">
    <fb>45682</fb>
    <v>9</v>
  </rv>
  <rv s="4">
    <fb>103048.72</fb>
    <v>10</v>
  </rv>
  <rv s="4">
    <fb>107114.53</fb>
    <v>10</v>
  </rv>
  <rv s="4">
    <fb>102809.91</fb>
    <v>10</v>
  </rv>
  <rv s="4">
    <fb>105103.66</fb>
    <v>10</v>
  </rv>
  <rv s="4">
    <fb>104056.06</fb>
    <v>10</v>
  </rv>
  <rv s="4">
    <fb>106781.49</fb>
    <v>10</v>
  </rv>
  <rv s="4">
    <fb>101259.87</fb>
    <v>10</v>
  </rv>
  <rv s="4">
    <fb>103124.76</fb>
    <v>10</v>
  </rv>
  <rv s="4">
    <fb>106769.18</fb>
    <v>10</v>
  </rv>
  <rv s="4">
    <fb>103358.35</fb>
    <v>10</v>
  </rv>
  <rv s="4">
    <fb>104069.74</fb>
    <v>10</v>
  </rv>
  <rv s="4">
    <fb>102522.42</fb>
    <v>10</v>
  </rv>
  <rv s="4">
    <fb>107201.71</fb>
    <v>10</v>
  </rv>
  <rv s="4">
    <fb>100138.69</fb>
    <v>10</v>
  </rv>
  <rv s="4">
    <fb>106787.46</fb>
    <v>10</v>
  </rv>
  <rv s="4">
    <fb>104999.96</fb>
    <v>10</v>
  </rv>
  <rv s="4">
    <fb>109071.86</fb>
    <v>10</v>
  </rv>
  <rv s="4">
    <fb>99561.39</fb>
    <v>10</v>
  </rv>
  <rv s="4">
    <fb>102547.79</fb>
    <v>10</v>
  </rv>
  <rv s="4">
    <fb>45676</fb>
    <v>9</v>
  </rv>
  <rv s="4">
    <fb>103833.52</fb>
    <v>10</v>
  </rv>
  <rv s="4">
    <fb>106258.54</fb>
    <v>10</v>
  </rv>
  <rv s="4">
    <fb>103443.83</fb>
    <v>10</v>
  </rv>
  <rv s="4">
    <fb>103660.35</fb>
    <v>10</v>
  </rv>
  <rv s="4">
    <fb>45675</fb>
    <v>9</v>
  </rv>
  <rv s="4">
    <fb>100126.8</fb>
    <v>10</v>
  </rv>
  <rv s="4">
    <fb>105878.27</fb>
    <v>10</v>
  </rv>
  <rv s="4">
    <fb>99392.68</fb>
    <v>10</v>
  </rv>
  <rv s="4">
    <fb>104642.32</fb>
    <v>10</v>
  </rv>
  <rv s="4">
    <fb>99690.13</fb>
    <v>10</v>
  </rv>
  <rv s="4">
    <fb>100805.52</fb>
    <v>10</v>
  </rv>
  <rv s="4">
    <fb>97392.8</fb>
    <v>10</v>
  </rv>
  <rv s="4">
    <fb>100136.79</fb>
    <v>10</v>
  </rv>
  <rv s="4">
    <fb>96482.94</fb>
    <v>10</v>
  </rv>
  <rv s="4">
    <fb>100683.32</fb>
    <v>10</v>
  </rv>
  <rv s="4">
    <fb>96436.71</fb>
    <v>10</v>
  </rv>
  <rv s="4">
    <fb>99673.49</fb>
    <v>10</v>
  </rv>
  <rv s="4">
    <fb>94210.61</fb>
    <v>10</v>
  </rv>
  <rv s="4">
    <fb>97347.18</fb>
    <v>10</v>
  </rv>
  <rv s="4">
    <fb>94169.06</fb>
    <v>10</v>
  </rv>
  <rv s="4">
    <fb>96442.64</fb>
    <v>10</v>
  </rv>
  <rv s="4">
    <fb>95118.1</fb>
    <v>10</v>
  </rv>
  <rv s="4">
    <fb>95855.45</fb>
    <v>10</v>
  </rv>
  <rv s="4">
    <fb>89612.68</fb>
    <v>10</v>
  </rv>
  <rv s="4">
    <fb>94173.24</fb>
    <v>10</v>
  </rv>
  <rv s="4">
    <fb>45669</fb>
    <v>9</v>
  </rv>
  <rv s="4">
    <fb>94925.48</fb>
    <v>10</v>
  </rv>
  <rv s="4">
    <fb>95361.72</fb>
    <v>10</v>
  </rv>
  <rv s="4">
    <fb>93728.76</fb>
    <v>10</v>
  </rv>
  <rv s="4">
    <fb>94313.97</fb>
    <v>10</v>
  </rv>
  <rv s="4">
    <fb>45668</fb>
    <v>9</v>
  </rv>
  <rv s="4">
    <fb>92114</fb>
    <v>10</v>
  </rv>
  <rv s="4">
    <fb>95787.41</fb>
    <v>10</v>
  </rv>
  <rv s="4">
    <fb>91681.46</fb>
    <v>10</v>
  </rv>
  <rv s="4">
    <fb>94637.47</fb>
    <v>10</v>
  </rv>
  <rv s="4">
    <fb>94474.61</fb>
    <v>10</v>
  </rv>
  <rv s="4">
    <fb>95330.47</fb>
    <v>10</v>
  </rv>
  <rv s="4">
    <fb>91262.09</fb>
    <v>10</v>
  </rv>
  <rv s="4">
    <fb>92131.11</fb>
    <v>10</v>
  </rv>
  <rv s="4">
    <fb>96454.46</fb>
    <v>10</v>
  </rv>
  <rv s="4">
    <fb>97265.85</fb>
    <v>10</v>
  </rv>
  <rv s="4">
    <fb>92727.94</fb>
    <v>10</v>
  </rv>
  <rv s="4">
    <fb>94478.57</fb>
    <v>10</v>
  </rv>
  <rv s="4">
    <fb>101653.61</fb>
    <v>10</v>
  </rv>
  <rv s="4">
    <fb>102714.45</fb>
    <v>10</v>
  </rv>
  <rv s="4">
    <fb>96151.41</fb>
    <v>10</v>
  </rv>
  <rv s="4">
    <fb>96551.69</fb>
    <v>10</v>
  </rv>
  <rv s="4">
    <fb>97707.83</fb>
    <v>10</v>
  </rv>
  <rv s="4">
    <fb>102498.95</fb>
    <v>10</v>
  </rv>
  <rv s="4">
    <fb>97670.720000000001</fb>
    <v>10</v>
  </rv>
  <rv s="4">
    <fb>101660.67</fb>
    <v>10</v>
  </rv>
  <rv s="4">
    <fb>45662</fb>
    <v>9</v>
  </rv>
  <rv s="4">
    <fb>98354</fb>
    <v>10</v>
  </rv>
  <rv s="4">
    <fb>98481.4</fb>
    <v>10</v>
  </rv>
  <rv s="4">
    <fb>97251.53</fb>
    <v>10</v>
  </rv>
  <rv s="4">
    <fb>98233.33</fb>
    <v>10</v>
  </rv>
  <rv s="4">
    <fb>45661</fb>
    <v>9</v>
  </rv>
  <rv s="4">
    <fb>97102.1</fb>
    <v>10</v>
  </rv>
  <rv s="4">
    <fb>98984.55</fb>
    <v>10</v>
  </rv>
  <rv s="4">
    <fb>93284.25</fb>
    <v>10</v>
  </rv>
  <rv s="4">
    <fb>98229.3</fb>
    <v>10</v>
  </rv>
  <rv s="4">
    <fb>94777</fb>
    <v>10</v>
  </rv>
  <rv s="4">
    <fb>97744.01</fb>
    <v>10</v>
  </rv>
  <rv s="4">
    <fb>94097.07</fb>
    <v>10</v>
  </rv>
  <rv s="4">
    <fb>97115</fb>
    <v>10</v>
  </rv>
  <rv s="4">
    <fb>93700.65</fb>
    <v>10</v>
  </rv>
  <rv s="4">
    <fb>95031.14</fb>
    <v>10</v>
  </rv>
  <rv s="4">
    <fb>92717.04</fb>
    <v>10</v>
  </rv>
  <rv s="4">
    <fb>91923</fb>
    <v>10</v>
  </rv>
  <rv s="4">
    <fb>96196.45</fb>
    <v>10</v>
  </rv>
  <rv s="4">
    <fb>91794</fb>
    <v>10</v>
  </rv>
  <rv s="4">
    <fb>93686.62</fb>
    <v>10</v>
  </rv>
  <rv s="4">
    <fb>93792</fb>
    <v>10</v>
  </rv>
  <rv s="4">
    <fb>95007.72</fb>
    <v>10</v>
  </rv>
  <rv s="4">
    <fb>91262.02</fb>
    <v>10</v>
  </rv>
  <rv s="5">
    <v>11</v>
    <v>av932w</v>
    <v>Daily</v>
    <v>45656</v>
    <v>46021</v>
    <v>0</v>
    <v>1</v>
    <v>639023040000000000,639026460987999839,0</v>
    <v>0</v>
    <v>av932w</v>
    <v/>
    <v>1</v>
  </rv>
  <rv s="6">
    <v>12</v>
    <v>bo8l6h</v>
    <v>Daily</v>
    <v>45656</v>
    <v>46021</v>
    <v>0</v>
    <v>1</v>
    <v>639024768000000000,639026460988136948,0</v>
    <v>2</v>
    <v>bo8l6h</v>
    <v/>
    <v>3</v>
    <v>4</v>
    <v>5</v>
    <v>6</v>
  </rv>
</rvData>
</file>

<file path=xl/richData/rdrichvaluestructure.xml><?xml version="1.0" encoding="utf-8"?>
<rvStructures xmlns="http://schemas.microsoft.com/office/spreadsheetml/2017/richdata" count="7">
  <s t="_linkedentitycore">
    <k n="_Display" t="spb"/>
    <k n="_DisplayString" t="s"/>
    <k n="_Flags" t="spb"/>
    <k n="_Format" t="spb"/>
    <k n="_Icon" t="s"/>
    <k n="_SubLabel" t="spb"/>
    <k n="%EntityCulture" t="s"/>
    <k n="%EntityId" t="s"/>
    <k n="%EntityServiceId"/>
    <k n="%IsRefreshable" t="b"/>
    <k n="%ProviderInfo" t="s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  <s t="_hyperlink">
    <k n="Address" t="s"/>
    <k n="Text" t="s"/>
  </s>
  <s t="_linkedentitycore">
    <k n="_Display" t="spb"/>
    <k n="_DisplayString" t="s"/>
    <k n="_Flags" t="spb"/>
    <k n="_Format" t="spb"/>
    <k n="_Icon" t="s"/>
    <k n="_SubLabel" t="spb"/>
    <k n="%EntityCulture" t="s"/>
    <k n="%EntityId" t="s"/>
    <k n="%EntityServiceId"/>
    <k n="%IsRefreshable" t="b"/>
    <k n="%ProviderInfo" t="s"/>
    <k n="Change"/>
    <k n="Change (%)"/>
    <k n="Country/region" t="s"/>
    <k n="Currency" t="s"/>
    <k n="Instrument type" t="s"/>
    <k n="Last trade time"/>
    <k n="LearnMoreOnLink" t="r"/>
    <k n="Maturity"/>
    <k n="Name" t="s"/>
    <k n="Previous close"/>
    <k n="Price"/>
    <k n="Ticker symbol" t="s"/>
    <k n="UniqueName" t="s"/>
    <k n="Yield last month"/>
    <k n="Yield last week"/>
    <k n="Yield last year"/>
    <k n="Yield yesterday"/>
  </s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  <k n="Open" t="a"/>
    <k n="High" t="a"/>
    <k n="Low" t="a"/>
  </s>
</rvStructures>
</file>

<file path=xl/richData/rdsupportingpropertybag.xml><?xml version="1.0" encoding="utf-8"?>
<supportingPropertyBags xmlns="http://schemas.microsoft.com/office/spreadsheetml/2017/richdata2">
  <spbArrays count="2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  <a count="28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Previous close</v>
      <v t="s">Yield yesterday</v>
      <v t="s">Yield last week</v>
      <v t="s">Yield last month</v>
      <v t="s">Yield last year</v>
      <v t="s">Maturity</v>
      <v t="s">Country/region</v>
      <v t="s">Instrument type</v>
      <v t="s">_Flags</v>
      <v t="s">UniqueName</v>
      <v t="s">_DisplayString</v>
      <v t="s">LearnMoreOnLink</v>
      <v t="s">%ProviderInfo</v>
    </a>
  </spbArrays>
  <spbData count="13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  <spb s="5">
      <v>1</v>
      <v>Name</v>
      <v>LearnMoreOnLink</v>
    </spb>
    <spb s="6">
      <v>1</v>
      <v>1</v>
      <v>1</v>
    </spb>
    <spb s="7">
      <v>2</v>
      <v>6</v>
      <v>6</v>
      <v>7</v>
      <v>3</v>
      <v>6</v>
      <v>4</v>
      <v>3</v>
      <v>3</v>
      <v>3</v>
      <v>3</v>
      <v>5</v>
    </spb>
    <spb s="3">
      <v>6</v>
      <v>6</v>
      <v>2</v>
      <v>6</v>
      <v>6</v>
      <v>6</v>
      <v>3</v>
      <v>6</v>
      <v>6</v>
      <v>6</v>
      <v>4</v>
      <v>5</v>
    </spb>
    <spb s="8">
      <v>7</v>
    </spb>
    <spb s="8">
      <v>6</v>
    </spb>
    <spb s="9">
      <v>7</v>
      <v>6</v>
    </spb>
    <spb s="10">
      <v>6</v>
      <v>7</v>
      <v>6</v>
      <v>6</v>
      <v>6</v>
    </spb>
  </spbData>
</supportingPropertyBags>
</file>

<file path=xl/richData/rdsupportingpropertybagstructure.xml><?xml version="1.0" encoding="utf-8"?>
<spbStructures xmlns="http://schemas.microsoft.com/office/spreadsheetml/2017/richdata2" count="11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  <s>
    <k n="^Order" t="spba"/>
    <k n="TitleProperty" t="s"/>
    <k n="SubTitleProperty" t="s"/>
  </s>
  <s>
    <k n="UniqueName" t="spb"/>
    <k n="`%ProviderInfo" t="spb"/>
    <k n="LearnMoreOnLink" t="spb"/>
  </s>
  <s>
    <k n="Name" t="i"/>
    <k n="Price" t="i"/>
    <k n="Change" t="i"/>
    <k n="Maturity" t="i"/>
    <k n="Change (%)" t="i"/>
    <k n="Previous close" t="i"/>
    <k n="Last trade time" t="i"/>
    <k n="Yield last week" t="i"/>
    <k n="Yield last year" t="i"/>
    <k n="Yield yesterday" t="i"/>
    <k n="Yield last month" t="i"/>
    <k n="`%EntityServiceId" t="i"/>
  </s>
  <s>
    <k n="_Self" t="i"/>
  </s>
  <s>
    <k n="Date" t="i"/>
    <k n="Close" t="i"/>
  </s>
  <s>
    <k n="Low" t="i"/>
    <k n="Date" t="i"/>
    <k n="High" t="i"/>
    <k n="Open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5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  <x:dxf>
      <x:numFmt numFmtId="19" formatCode="dd/mm/yyyy"/>
    </x:dxf>
  </dxfs>
  <richProperties>
    <rPr n="NumberFormat" t="s"/>
    <rPr n="IsTitleField" t="b"/>
  </richProperties>
  <richStyles>
    <rSty dxfid="3">
      <rpv i="0">_([$€-x-euro2] * #,##0.00_);_([$€-x-euro2] * (#,##0.00);_([$€-x-euro2] * "-"??_);_(@_)</rpv>
    </rSty>
    <rSty>
      <rpv i="1">1</rpv>
    </rSty>
    <rSty dxfid="2"/>
    <rSty dxfid="1"/>
    <rSty dxfid="0">
      <rpv i="0">0.00</rpv>
    </rSty>
    <rSty dxfid="3">
      <rpv i="0">_([$$-en-US]* #,##0.00_);_([$$-en-US]* (#,##0.00);_([$$-en-US]* "-"??_);_(@_)</rpv>
    </rSty>
    <rSty dxfid="4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6" dT="2025-12-29T22:32:51.07" personId="{413D7DA9-97B0-D04E-98CC-1D37EE26283F}" id="{B127647C-92E9-154D-A1DD-14106417C853}">
    <text>Annual EUR/USD variation</text>
  </threadedComment>
  <threadedComment ref="J6" dT="2025-12-29T22:33:47.11" personId="{413D7DA9-97B0-D04E-98CC-1D37EE26283F}" id="{906693E4-0B45-BA46-B3AE-8C94417FF8D8}">
    <text xml:space="preserve">Annual crypto return in euro with FX variation </text>
  </threadedComment>
  <threadedComment ref="A7" dT="2025-12-29T22:31:29.70" personId="{413D7DA9-97B0-D04E-98CC-1D37EE26283F}" id="{3D6F7AE0-B472-2744-89BD-131C3BDAEA34}">
    <text>filter</text>
  </threadedComment>
  <threadedComment ref="D7" dT="2025-12-29T22:30:44.23" personId="{413D7DA9-97B0-D04E-98CC-1D37EE26283F}" id="{D6CBF698-C518-6049-8F42-A98950FBD19F}">
    <text>Adaptative between BTC/EUR or BTC/USD annual return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" dT="2025-12-29T22:38:45.36" personId="{413D7DA9-97B0-D04E-98CC-1D37EE26283F}" id="{8A1B03A7-B5C0-4F4F-9917-31E67A0F2EC8}">
    <text>Log return : Ln(Dt+1/Dt) because more accurate</text>
  </threadedComment>
  <threadedComment ref="H1" dT="2025-12-29T23:27:33.17" personId="{413D7DA9-97B0-D04E-98CC-1D37EE26283F}" id="{75BE9A78-2BFC-9A4A-81FD-5090680069DB}">
    <text xml:space="preserve">ex : Livret A : 1.7% </text>
  </threadedComment>
  <threadedComment ref="E3" dT="2025-12-29T22:55:22.03" personId="{413D7DA9-97B0-D04E-98CC-1D37EE26283F}" id="{2C1349EA-C6A2-C046-910C-0CFF0351285C}">
    <text xml:space="preserve">Daily volatility = Btc is moving in daily  average : </text>
  </threadedComment>
  <threadedComment ref="E4" dT="2025-12-29T23:10:45.76" personId="{413D7DA9-97B0-D04E-98CC-1D37EE26283F}" id="{6C5404AD-2951-F649-A3B8-490A41641CC3}">
    <text>Sigma*Sqrt(Nb of days)</text>
  </threadedComment>
  <threadedComment ref="J4" dT="2025-12-29T23:10:45.76" personId="{413D7DA9-97B0-D04E-98CC-1D37EE26283F}" id="{27B6B35B-FD84-304C-80CB-7E7A53E67C72}">
    <text>The small difference btw VBA and excel is due to the difference of days (n or n-1) here 365 or 364 for the returns</text>
  </threadedComment>
  <threadedComment ref="E6" dT="2025-12-29T23:21:28.13" personId="{413D7DA9-97B0-D04E-98CC-1D37EE26283F}" id="{05902DA3-D2BA-0A48-813F-A47E40227599}">
    <text>SR=(Annual return - RiskFree rate)/ Annual Volatility
SR &lt; 0: The investment is losing money (or underperforming a risk-free asset).
0&lt; SR &lt;1: Acceptable, but the risk is high relative to the return
SR &gt; 1: Good investment (the risk is well compensated).
SR &gt; 2: Excellent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5-12-30T00:00:45.22" personId="{413D7DA9-97B0-D04E-98CC-1D37EE26283F}" id="{B6DB2016-3E2C-0047-B6ED-5A70B3974692}">
    <text>Spot Price</text>
  </threadedComment>
  <threadedComment ref="A2" dT="2025-12-30T00:00:54.97" personId="{413D7DA9-97B0-D04E-98CC-1D37EE26283F}" id="{578909CA-372D-3A40-83F0-30B440E5BFBE}">
    <text xml:space="preserve">Strike Price
</text>
  </threadedComment>
  <threadedComment ref="A3" dT="2025-12-30T00:01:07.76" personId="{413D7DA9-97B0-D04E-98CC-1D37EE26283F}" id="{7C0C1A84-2C75-0241-B91A-65AD1765E50D}">
    <text>Time to Maturity : for 30 days =30/365</text>
  </threadedComment>
  <threadedComment ref="A4" dT="2025-12-30T00:01:37.67" personId="{413D7DA9-97B0-D04E-98CC-1D37EE26283F}" id="{4A112881-1A09-E245-B204-A0FCB3A8C86C}">
    <text>Risk-Free Rate, here we use discounted T bonds</text>
  </threadedComment>
  <threadedComment ref="A5" dT="2025-12-30T00:02:22.98" personId="{413D7DA9-97B0-D04E-98CC-1D37EE26283F}" id="{A455268B-186F-4249-B66F-AFE8EF98F68F}">
    <text>Annualized Volatility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DF59F-8D89-A742-B307-656C9C7A15D4}">
  <sheetPr codeName="Sheet1"/>
  <dimension ref="A1:J369"/>
  <sheetViews>
    <sheetView zoomScale="113" workbookViewId="0">
      <selection activeCell="B3" sqref="B3"/>
    </sheetView>
  </sheetViews>
  <sheetFormatPr baseColWidth="10" defaultRowHeight="16" x14ac:dyDescent="0.2"/>
  <cols>
    <col min="1" max="1" width="14.5" customWidth="1"/>
    <col min="2" max="2" width="13.33203125" style="3" bestFit="1" customWidth="1"/>
    <col min="3" max="3" width="12.83203125" style="3" bestFit="1" customWidth="1"/>
    <col min="4" max="4" width="13.6640625" style="3" customWidth="1"/>
    <col min="5" max="5" width="12.83203125" style="3" bestFit="1" customWidth="1"/>
    <col min="6" max="6" width="11.6640625" bestFit="1" customWidth="1"/>
    <col min="8" max="8" width="11" bestFit="1" customWidth="1"/>
    <col min="10" max="10" width="12.1640625" bestFit="1" customWidth="1"/>
  </cols>
  <sheetData>
    <row r="1" spans="1:10" x14ac:dyDescent="0.2">
      <c r="B1" s="3" t="s">
        <v>2</v>
      </c>
    </row>
    <row r="2" spans="1:10" x14ac:dyDescent="0.2">
      <c r="A2" t="e" vm="1">
        <v>#VALUE!</v>
      </c>
      <c r="B2" s="3" cm="1">
        <f t="array" aca="1" ref="B2" ca="1">_FV(A2,"Price")</f>
        <v>73994.733699999997</v>
      </c>
      <c r="D2" t="e" vm="2">
        <v>#VALUE!</v>
      </c>
      <c r="E2" s="5" cm="1">
        <f t="array" aca="1" ref="E2" ca="1">_FV(D2,"Price")*0.01</f>
        <v>4.1102E-2</v>
      </c>
      <c r="H2" t="e" vm="3">
        <v>#VALUE!</v>
      </c>
      <c r="I2" s="6" cm="1">
        <f t="array" aca="1" ref="I2" ca="1">_FV(H2,"Price")</f>
        <v>1.1771</v>
      </c>
    </row>
    <row r="3" spans="1:10" x14ac:dyDescent="0.2">
      <c r="A3" t="e" vm="4">
        <v>#VALUE!</v>
      </c>
      <c r="B3" s="1" cm="1">
        <f t="array" aca="1" ref="B3" ca="1">_FV(A3,"Price")</f>
        <v>87138.8</v>
      </c>
    </row>
    <row r="4" spans="1:10" x14ac:dyDescent="0.2">
      <c r="A4" t="e" vm="5">
        <v>#VALUE!</v>
      </c>
      <c r="B4" s="1" cm="1">
        <f t="array" aca="1" ref="B4" ca="1">_FV(A4,"Price")</f>
        <v>2935.01</v>
      </c>
    </row>
    <row r="6" spans="1:10" x14ac:dyDescent="0.2">
      <c r="H6" t="s">
        <v>3</v>
      </c>
      <c r="J6" t="s">
        <v>5</v>
      </c>
    </row>
    <row r="7" spans="1:10" x14ac:dyDescent="0.2">
      <c r="A7" t="s">
        <v>0</v>
      </c>
      <c r="B7" s="3" t="e" vm="4">
        <v>#VALUE!</v>
      </c>
      <c r="D7" s="7" t="s">
        <v>4</v>
      </c>
      <c r="E7" s="7"/>
      <c r="F7" s="5" cm="1">
        <f t="array" aca="1" ref="F7" ca="1">IF(ISNUMBER(SEARCH("EUR", _xlfn.FIELDVALUE($B$7,"Name"))),(E10-E269)/E269,(E10-E368)/E368)</f>
        <v>-4.7634433166889645E-2</v>
      </c>
      <c r="G7" s="5"/>
      <c r="H7" s="5" cm="1">
        <f t="array" aca="1" ref="H7" ca="1">IF(ISNUMBER(SEARCH("EUR", _xlfn.FIELDVALUE($B$7,"Name"))), NA(),(I10/I269)-1)</f>
        <v>0.13106562890362272</v>
      </c>
      <c r="J7" s="5">
        <f ca="1">((1+F7)/(1+H7))-1</f>
        <v>-0.15799265533665974</v>
      </c>
    </row>
    <row r="9" spans="1:10" x14ac:dyDescent="0.2">
      <c r="A9" t="str" cm="1">
        <f t="array" aca="1" ref="A9:E368" ca="1">_xlfn._xlws.SORT(_xlfn.STOCKHISTORY(B7,TODAY()-365,TODAY(),0,,0,2,3,4,1,),,-1)</f>
        <v>Date</v>
      </c>
      <c r="B9" s="3" t="str">
        <f ca="1"/>
        <v>Open</v>
      </c>
      <c r="C9" s="3" t="str">
        <f ca="1"/>
        <v>High</v>
      </c>
      <c r="D9" s="3" t="str">
        <f ca="1"/>
        <v>Low</v>
      </c>
      <c r="E9" s="3" t="str">
        <f ca="1"/>
        <v>Close</v>
      </c>
      <c r="F9" t="s">
        <v>1</v>
      </c>
      <c r="H9" t="str" cm="1">
        <f t="array" aca="1" ref="H9:I269" ca="1">_xlfn._xlws.SORT(_xlfn.STOCKHISTORY(H2,TODAY()-365,TODAY(),,,0,1),,-1)</f>
        <v>Date</v>
      </c>
      <c r="I9" t="str">
        <f ca="1"/>
        <v>Close</v>
      </c>
    </row>
    <row r="10" spans="1:10" x14ac:dyDescent="0.2">
      <c r="A10" s="2" vm="6">
        <f ca="1"/>
        <v>46019</v>
      </c>
      <c r="B10" vm="7">
        <f ca="1"/>
        <v>87627.7</v>
      </c>
      <c r="C10" vm="8">
        <f ca="1"/>
        <v>87996.27</v>
      </c>
      <c r="D10" vm="9">
        <f ca="1"/>
        <v>87405.68</v>
      </c>
      <c r="E10" vm="10">
        <f ca="1"/>
        <v>87544.3</v>
      </c>
      <c r="F10" s="4">
        <f ca="1">((E10-E11)/E11)</f>
        <v>-6.3287859073556986E-4</v>
      </c>
      <c r="G10" s="4"/>
      <c r="H10" vm="11">
        <f ca="1"/>
        <v>46017</v>
      </c>
      <c r="I10" vm="12">
        <f ca="1"/>
        <v>1.1771</v>
      </c>
    </row>
    <row r="11" spans="1:10" x14ac:dyDescent="0.2">
      <c r="A11" s="2" vm="13">
        <f ca="1"/>
        <v>46018</v>
      </c>
      <c r="B11" vm="14">
        <f ca="1"/>
        <v>87433.51</v>
      </c>
      <c r="C11" vm="15">
        <f ca="1"/>
        <v>87666.64</v>
      </c>
      <c r="D11" vm="16">
        <f ca="1"/>
        <v>87202.34</v>
      </c>
      <c r="E11" vm="17">
        <f ca="1"/>
        <v>87599.74</v>
      </c>
      <c r="F11" s="4">
        <f t="shared" ref="F11:F74" ca="1" si="0">((E11-E12)/E12)</f>
        <v>1.9490024744554715E-3</v>
      </c>
      <c r="G11" s="4"/>
      <c r="H11" vm="18">
        <f ca="1"/>
        <v>46016</v>
      </c>
      <c r="I11" vm="19">
        <f ca="1"/>
        <v>1.1777</v>
      </c>
    </row>
    <row r="12" spans="1:10" x14ac:dyDescent="0.2">
      <c r="A12" s="2" vm="11">
        <f ca="1"/>
        <v>46017</v>
      </c>
      <c r="B12" vm="20">
        <f ca="1"/>
        <v>87857.1</v>
      </c>
      <c r="C12" vm="21">
        <f ca="1"/>
        <v>89448.41</v>
      </c>
      <c r="D12" vm="22">
        <f ca="1"/>
        <v>86637.23</v>
      </c>
      <c r="E12" vm="23">
        <f ca="1"/>
        <v>87429.34</v>
      </c>
      <c r="F12" s="4">
        <f t="shared" ca="1" si="0"/>
        <v>-4.8001708346309515E-3</v>
      </c>
      <c r="G12" s="4"/>
      <c r="H12" vm="24">
        <f ca="1"/>
        <v>46015</v>
      </c>
      <c r="I12" vm="25">
        <f ca="1"/>
        <v>1.1778</v>
      </c>
    </row>
    <row r="13" spans="1:10" x14ac:dyDescent="0.2">
      <c r="A13" s="2" vm="18">
        <f ca="1"/>
        <v>46016</v>
      </c>
      <c r="B13" vm="26">
        <f ca="1"/>
        <v>87630.95</v>
      </c>
      <c r="C13" vm="27">
        <f ca="1"/>
        <v>88500.51</v>
      </c>
      <c r="D13" vm="28">
        <f ca="1"/>
        <v>87234.21</v>
      </c>
      <c r="E13" vm="29">
        <f ca="1"/>
        <v>87851.04</v>
      </c>
      <c r="F13" s="4">
        <f t="shared" ca="1" si="0"/>
        <v>2.3384959144777707E-3</v>
      </c>
      <c r="G13" s="4"/>
      <c r="H13" vm="30">
        <f ca="1"/>
        <v>46014</v>
      </c>
      <c r="I13" vm="31">
        <f ca="1"/>
        <v>1.1794</v>
      </c>
    </row>
    <row r="14" spans="1:10" x14ac:dyDescent="0.2">
      <c r="A14" s="2" vm="24">
        <f ca="1"/>
        <v>46015</v>
      </c>
      <c r="B14" vm="32">
        <f ca="1"/>
        <v>87674.22</v>
      </c>
      <c r="C14" vm="33">
        <f ca="1"/>
        <v>87777.7</v>
      </c>
      <c r="D14" vm="34">
        <f ca="1"/>
        <v>86414.19</v>
      </c>
      <c r="E14" vm="35">
        <f ca="1"/>
        <v>87646.080000000002</v>
      </c>
      <c r="F14" s="4">
        <f t="shared" ca="1" si="0"/>
        <v>-2.4855172140025302E-4</v>
      </c>
      <c r="G14" s="4"/>
      <c r="H14" vm="36">
        <f ca="1"/>
        <v>46013</v>
      </c>
      <c r="I14" vm="37">
        <f ca="1"/>
        <v>1.1759999999999999</v>
      </c>
    </row>
    <row r="15" spans="1:10" x14ac:dyDescent="0.2">
      <c r="A15" s="2" vm="30">
        <f ca="1"/>
        <v>46014</v>
      </c>
      <c r="B15" vm="38">
        <f ca="1"/>
        <v>88235.63</v>
      </c>
      <c r="C15" vm="39">
        <f ca="1"/>
        <v>88890.1</v>
      </c>
      <c r="D15" vm="40">
        <f ca="1"/>
        <v>86635.199999999997</v>
      </c>
      <c r="E15" vm="41">
        <f ca="1"/>
        <v>87667.87</v>
      </c>
      <c r="F15" s="4">
        <f t="shared" ca="1" si="0"/>
        <v>-6.6200124416304022E-3</v>
      </c>
      <c r="G15" s="4"/>
      <c r="H15" vm="42">
        <f ca="1"/>
        <v>46010</v>
      </c>
      <c r="I15" vm="43">
        <f ca="1"/>
        <v>1.1708000000000001</v>
      </c>
    </row>
    <row r="16" spans="1:10" x14ac:dyDescent="0.2">
      <c r="A16" s="2" vm="36">
        <f ca="1"/>
        <v>46013</v>
      </c>
      <c r="B16" vm="44">
        <f ca="1"/>
        <v>88152.639999999999</v>
      </c>
      <c r="C16" vm="45">
        <f ca="1"/>
        <v>90466.19</v>
      </c>
      <c r="D16" vm="46">
        <f ca="1"/>
        <v>87914.38</v>
      </c>
      <c r="E16" vm="47">
        <f ca="1"/>
        <v>88252.1</v>
      </c>
      <c r="F16" s="4">
        <f t="shared" ca="1" si="0"/>
        <v>1.0558193591535131E-3</v>
      </c>
      <c r="G16" s="4"/>
      <c r="H16" vm="48">
        <f ca="1"/>
        <v>46009</v>
      </c>
      <c r="I16" vm="49">
        <f ca="1"/>
        <v>1.1720999999999999</v>
      </c>
    </row>
    <row r="17" spans="1:9" x14ac:dyDescent="0.2">
      <c r="A17" s="2" vm="50">
        <f ca="1"/>
        <v>46012</v>
      </c>
      <c r="B17" vm="51">
        <f ca="1"/>
        <v>88207.58</v>
      </c>
      <c r="C17" vm="52">
        <f ca="1"/>
        <v>89032.44</v>
      </c>
      <c r="D17" vm="53">
        <f ca="1"/>
        <v>87618.41</v>
      </c>
      <c r="E17" vm="54">
        <f ca="1"/>
        <v>88159.02</v>
      </c>
      <c r="F17" s="4">
        <f t="shared" ca="1" si="0"/>
        <v>-3.8880500119559634E-4</v>
      </c>
      <c r="G17" s="4"/>
      <c r="H17" vm="55">
        <f ca="1"/>
        <v>46008</v>
      </c>
      <c r="I17" vm="56">
        <f ca="1"/>
        <v>1.1738999999999999</v>
      </c>
    </row>
    <row r="18" spans="1:9" x14ac:dyDescent="0.2">
      <c r="A18" s="2" vm="57">
        <f ca="1"/>
        <v>46011</v>
      </c>
      <c r="B18" vm="58">
        <f ca="1"/>
        <v>87813.7</v>
      </c>
      <c r="C18" vm="59">
        <f ca="1"/>
        <v>88530.38</v>
      </c>
      <c r="D18" vm="60">
        <f ca="1"/>
        <v>87800.5</v>
      </c>
      <c r="E18" vm="61">
        <f ca="1"/>
        <v>88193.31</v>
      </c>
      <c r="F18" s="4">
        <f t="shared" ca="1" si="0"/>
        <v>4.4436907381672028E-3</v>
      </c>
      <c r="G18" s="4"/>
      <c r="H18" vm="62">
        <f ca="1"/>
        <v>46007</v>
      </c>
      <c r="I18" vm="63">
        <f ca="1"/>
        <v>1.1746000000000001</v>
      </c>
    </row>
    <row r="19" spans="1:9" x14ac:dyDescent="0.2">
      <c r="A19" s="2" vm="42">
        <f ca="1"/>
        <v>46010</v>
      </c>
      <c r="B19" vm="64">
        <f ca="1"/>
        <v>85614.42</v>
      </c>
      <c r="C19" vm="65">
        <f ca="1"/>
        <v>89336.45</v>
      </c>
      <c r="D19" vm="66">
        <f ca="1"/>
        <v>85139.64</v>
      </c>
      <c r="E19" vm="67">
        <f ca="1"/>
        <v>87803.14</v>
      </c>
      <c r="F19" s="4">
        <f t="shared" ca="1" si="0"/>
        <v>2.5694719776906499E-2</v>
      </c>
      <c r="G19" s="4"/>
      <c r="H19" vm="68">
        <f ca="1"/>
        <v>46006</v>
      </c>
      <c r="I19" vm="69">
        <f ca="1"/>
        <v>1.1752</v>
      </c>
    </row>
    <row r="20" spans="1:9" x14ac:dyDescent="0.2">
      <c r="A20" s="2" vm="48">
        <f ca="1"/>
        <v>46009</v>
      </c>
      <c r="B20" vm="70">
        <f ca="1"/>
        <v>85984.9</v>
      </c>
      <c r="C20" vm="71">
        <f ca="1"/>
        <v>89350.83</v>
      </c>
      <c r="D20" vm="72">
        <f ca="1"/>
        <v>84453.01</v>
      </c>
      <c r="E20" vm="73">
        <f ca="1"/>
        <v>85603.58</v>
      </c>
      <c r="F20" s="4">
        <f t="shared" ca="1" si="0"/>
        <v>-4.4237325686944523E-3</v>
      </c>
      <c r="G20" s="4"/>
      <c r="H20" vm="74">
        <f ca="1"/>
        <v>46003</v>
      </c>
      <c r="I20" vm="75">
        <f ca="1"/>
        <v>1.1739999999999999</v>
      </c>
    </row>
    <row r="21" spans="1:9" x14ac:dyDescent="0.2">
      <c r="A21" s="2" vm="55">
        <f ca="1"/>
        <v>46008</v>
      </c>
      <c r="B21" vm="76">
        <f ca="1"/>
        <v>87787.11</v>
      </c>
      <c r="C21" vm="77">
        <f ca="1"/>
        <v>90313.9</v>
      </c>
      <c r="D21" vm="78">
        <f ca="1"/>
        <v>85347.55</v>
      </c>
      <c r="E21" vm="79">
        <f ca="1"/>
        <v>85983.95</v>
      </c>
      <c r="F21" s="4">
        <f t="shared" ca="1" si="0"/>
        <v>-2.0546951213677767E-2</v>
      </c>
      <c r="G21" s="4"/>
      <c r="H21" vm="80">
        <f ca="1"/>
        <v>46002</v>
      </c>
      <c r="I21" vm="81">
        <f ca="1"/>
        <v>1.1738</v>
      </c>
    </row>
    <row r="22" spans="1:9" x14ac:dyDescent="0.2">
      <c r="A22" s="2" vm="62">
        <f ca="1"/>
        <v>46007</v>
      </c>
      <c r="B22" vm="82">
        <f ca="1"/>
        <v>86233.52</v>
      </c>
      <c r="C22" vm="83">
        <f ca="1"/>
        <v>88156.17</v>
      </c>
      <c r="D22" vm="84">
        <f ca="1"/>
        <v>85379.32</v>
      </c>
      <c r="E22" vm="85">
        <f ca="1"/>
        <v>87787.72</v>
      </c>
      <c r="F22" s="4">
        <f t="shared" ca="1" si="0"/>
        <v>1.8060814564898445E-2</v>
      </c>
      <c r="G22" s="4"/>
      <c r="H22" vm="86">
        <f ca="1"/>
        <v>46001</v>
      </c>
      <c r="I22" vm="87">
        <f ca="1"/>
        <v>1.1694</v>
      </c>
    </row>
    <row r="23" spans="1:9" x14ac:dyDescent="0.2">
      <c r="A23" s="2" vm="68">
        <f ca="1"/>
        <v>46006</v>
      </c>
      <c r="B23" vm="88">
        <f ca="1"/>
        <v>88465.84</v>
      </c>
      <c r="C23" vm="89">
        <f ca="1"/>
        <v>89983.28</v>
      </c>
      <c r="D23" vm="90">
        <f ca="1"/>
        <v>85264.9</v>
      </c>
      <c r="E23" vm="91">
        <f ca="1"/>
        <v>86230.33</v>
      </c>
      <c r="F23" s="4">
        <f t="shared" ca="1" si="0"/>
        <v>-2.5266999293171444E-2</v>
      </c>
      <c r="G23" s="4"/>
      <c r="H23" vm="92">
        <f ca="1"/>
        <v>46000</v>
      </c>
      <c r="I23" vm="93">
        <f ca="1"/>
        <v>1.1625000000000001</v>
      </c>
    </row>
    <row r="24" spans="1:9" x14ac:dyDescent="0.2">
      <c r="A24" s="2" vm="94">
        <f ca="1"/>
        <v>46005</v>
      </c>
      <c r="B24" vm="95">
        <f ca="1"/>
        <v>90189.3</v>
      </c>
      <c r="C24" vm="96">
        <f ca="1"/>
        <v>90482.65</v>
      </c>
      <c r="D24" vm="97">
        <f ca="1"/>
        <v>88404.61</v>
      </c>
      <c r="E24" vm="98">
        <f ca="1"/>
        <v>88465.59</v>
      </c>
      <c r="F24" s="4">
        <f t="shared" ca="1" si="0"/>
        <v>-1.9019898022661696E-2</v>
      </c>
      <c r="G24" s="4"/>
      <c r="H24" vm="99">
        <f ca="1"/>
        <v>45999</v>
      </c>
      <c r="I24" vm="100">
        <f ca="1"/>
        <v>1.1636</v>
      </c>
    </row>
    <row r="25" spans="1:9" x14ac:dyDescent="0.2">
      <c r="A25" s="2" vm="101">
        <f ca="1"/>
        <v>46004</v>
      </c>
      <c r="B25" vm="102">
        <f ca="1"/>
        <v>90213.52</v>
      </c>
      <c r="C25" vm="103">
        <f ca="1"/>
        <v>90641.07</v>
      </c>
      <c r="D25" vm="104">
        <f ca="1"/>
        <v>89830.15</v>
      </c>
      <c r="E25" vm="105">
        <f ca="1"/>
        <v>90180.82</v>
      </c>
      <c r="F25" s="4">
        <f t="shared" ca="1" si="0"/>
        <v>-4.0867816500284303E-4</v>
      </c>
      <c r="G25" s="4"/>
      <c r="H25" vm="106">
        <f ca="1"/>
        <v>45996</v>
      </c>
      <c r="I25" vm="107">
        <f ca="1"/>
        <v>1.1641999999999999</v>
      </c>
    </row>
    <row r="26" spans="1:9" x14ac:dyDescent="0.2">
      <c r="A26" s="2" vm="74">
        <f ca="1"/>
        <v>46003</v>
      </c>
      <c r="B26" vm="108">
        <f ca="1"/>
        <v>92908.68</v>
      </c>
      <c r="C26" vm="109">
        <f ca="1"/>
        <v>93166.97</v>
      </c>
      <c r="D26" vm="110">
        <f ca="1"/>
        <v>89535.5</v>
      </c>
      <c r="E26" vm="111">
        <f ca="1"/>
        <v>90217.69</v>
      </c>
      <c r="F26" s="4">
        <f t="shared" ca="1" si="0"/>
        <v>-2.8971132946964046E-2</v>
      </c>
      <c r="G26" s="4"/>
      <c r="H26" vm="112">
        <f ca="1"/>
        <v>45995</v>
      </c>
      <c r="I26" vm="113">
        <f ca="1"/>
        <v>1.1642999999999999</v>
      </c>
    </row>
    <row r="27" spans="1:9" x14ac:dyDescent="0.2">
      <c r="A27" s="2" vm="80">
        <f ca="1"/>
        <v>46002</v>
      </c>
      <c r="B27" vm="114">
        <f ca="1"/>
        <v>92389.38</v>
      </c>
      <c r="C27" vm="115">
        <f ca="1"/>
        <v>93556.59</v>
      </c>
      <c r="D27" vm="116">
        <f ca="1"/>
        <v>89323.48</v>
      </c>
      <c r="E27" vm="117">
        <f ca="1"/>
        <v>92909.38</v>
      </c>
      <c r="F27" s="4">
        <f t="shared" ca="1" si="0"/>
        <v>5.4152757481525406E-3</v>
      </c>
      <c r="G27" s="4"/>
      <c r="H27" vm="118">
        <f ca="1"/>
        <v>45994</v>
      </c>
      <c r="I27" vm="119">
        <f ca="1"/>
        <v>1.167</v>
      </c>
    </row>
    <row r="28" spans="1:9" x14ac:dyDescent="0.2">
      <c r="A28" s="2" vm="86">
        <f ca="1"/>
        <v>46001</v>
      </c>
      <c r="B28" vm="120">
        <f ca="1"/>
        <v>92761.279999999999</v>
      </c>
      <c r="C28" vm="121">
        <f ca="1"/>
        <v>94482.7</v>
      </c>
      <c r="D28" vm="122">
        <f ca="1"/>
        <v>91653.36</v>
      </c>
      <c r="E28" vm="123">
        <f ca="1"/>
        <v>92408.960000000006</v>
      </c>
      <c r="F28" s="4">
        <f t="shared" ca="1" si="0"/>
        <v>-3.0060122402591084E-3</v>
      </c>
      <c r="G28" s="4"/>
      <c r="H28" vm="124">
        <f ca="1"/>
        <v>45993</v>
      </c>
      <c r="I28" vm="125">
        <f ca="1"/>
        <v>1.1623000000000001</v>
      </c>
    </row>
    <row r="29" spans="1:9" x14ac:dyDescent="0.2">
      <c r="A29" s="2" vm="92">
        <f ca="1"/>
        <v>46000</v>
      </c>
      <c r="B29" vm="126">
        <f ca="1"/>
        <v>91372.4</v>
      </c>
      <c r="C29" vm="127">
        <f ca="1"/>
        <v>94621.49</v>
      </c>
      <c r="D29" vm="128">
        <f ca="1"/>
        <v>89581.79</v>
      </c>
      <c r="E29" vm="129">
        <f ca="1"/>
        <v>92687.58</v>
      </c>
      <c r="F29" s="4">
        <f t="shared" ca="1" si="0"/>
        <v>1.4633034573081159E-2</v>
      </c>
      <c r="G29" s="4"/>
      <c r="H29" vm="130">
        <f ca="1"/>
        <v>45992</v>
      </c>
      <c r="I29" vm="131">
        <f ca="1"/>
        <v>1.161</v>
      </c>
    </row>
    <row r="30" spans="1:9" x14ac:dyDescent="0.2">
      <c r="A30" s="2" vm="99">
        <f ca="1"/>
        <v>45999</v>
      </c>
      <c r="B30" vm="132">
        <f ca="1"/>
        <v>90161.279999999999</v>
      </c>
      <c r="C30" vm="133">
        <f ca="1"/>
        <v>92270.28</v>
      </c>
      <c r="D30" vm="134">
        <f ca="1"/>
        <v>89091.99</v>
      </c>
      <c r="E30" vm="135">
        <f ca="1"/>
        <v>91350.84</v>
      </c>
      <c r="F30" s="4">
        <f t="shared" ca="1" si="0"/>
        <v>1.2469721781198788E-2</v>
      </c>
      <c r="G30" s="4"/>
      <c r="H30" vm="136">
        <f ca="1"/>
        <v>45989</v>
      </c>
      <c r="I30" vm="137">
        <f ca="1"/>
        <v>1.1595</v>
      </c>
    </row>
    <row r="31" spans="1:9" x14ac:dyDescent="0.2">
      <c r="A31" s="2" vm="138">
        <f ca="1"/>
        <v>45998</v>
      </c>
      <c r="B31" vm="139">
        <f ca="1"/>
        <v>89458.72</v>
      </c>
      <c r="C31" vm="140">
        <f ca="1"/>
        <v>91735.94</v>
      </c>
      <c r="D31" vm="141">
        <f ca="1"/>
        <v>87777.99</v>
      </c>
      <c r="E31" vm="142">
        <f ca="1"/>
        <v>90225.75</v>
      </c>
      <c r="F31" s="4">
        <f t="shared" ca="1" si="0"/>
        <v>8.7413461109529175E-3</v>
      </c>
      <c r="G31" s="4"/>
      <c r="H31" vm="143">
        <f ca="1"/>
        <v>45988</v>
      </c>
      <c r="I31" vm="137">
        <f ca="1"/>
        <v>1.1595</v>
      </c>
    </row>
    <row r="32" spans="1:9" x14ac:dyDescent="0.2">
      <c r="A32" s="2" vm="144">
        <f ca="1"/>
        <v>45997</v>
      </c>
      <c r="B32" vm="145">
        <f ca="1"/>
        <v>89208.63</v>
      </c>
      <c r="C32" vm="146">
        <f ca="1"/>
        <v>90193.63</v>
      </c>
      <c r="D32" vm="147">
        <f ca="1"/>
        <v>88952.75</v>
      </c>
      <c r="E32" vm="148">
        <f ca="1"/>
        <v>89443.89</v>
      </c>
      <c r="F32" s="4">
        <f t="shared" ca="1" si="0"/>
        <v>2.9950614958150156E-3</v>
      </c>
      <c r="G32" s="4"/>
      <c r="H32" vm="149">
        <f ca="1"/>
        <v>45987</v>
      </c>
      <c r="I32" vm="150">
        <f ca="1"/>
        <v>1.1594</v>
      </c>
    </row>
    <row r="33" spans="1:9" x14ac:dyDescent="0.2">
      <c r="A33" s="2" vm="106">
        <f ca="1"/>
        <v>45996</v>
      </c>
      <c r="B33" vm="151">
        <f ca="1"/>
        <v>92182.07</v>
      </c>
      <c r="C33" vm="152">
        <f ca="1"/>
        <v>92699.199999999997</v>
      </c>
      <c r="D33" vm="153">
        <f ca="1"/>
        <v>88216.03</v>
      </c>
      <c r="E33" vm="154">
        <f ca="1"/>
        <v>89176.8</v>
      </c>
      <c r="F33" s="4">
        <f t="shared" ca="1" si="0"/>
        <v>-3.247750413202688E-2</v>
      </c>
      <c r="G33" s="4"/>
      <c r="H33" vm="155">
        <f ca="1"/>
        <v>45986</v>
      </c>
      <c r="I33" vm="156">
        <f ca="1"/>
        <v>1.1569</v>
      </c>
    </row>
    <row r="34" spans="1:9" x14ac:dyDescent="0.2">
      <c r="A34" s="2" vm="112">
        <f ca="1"/>
        <v>45995</v>
      </c>
      <c r="B34" vm="157">
        <f ca="1"/>
        <v>93715.62</v>
      </c>
      <c r="C34" vm="158">
        <f ca="1"/>
        <v>94082.47</v>
      </c>
      <c r="D34" vm="159">
        <f ca="1"/>
        <v>90979.31</v>
      </c>
      <c r="E34" vm="160">
        <f ca="1"/>
        <v>92170.26</v>
      </c>
      <c r="F34" s="4">
        <f t="shared" ca="1" si="0"/>
        <v>-1.6731938541065673E-2</v>
      </c>
      <c r="G34" s="4"/>
      <c r="H34" vm="161">
        <f ca="1"/>
        <v>45985</v>
      </c>
      <c r="I34" vm="162">
        <f ca="1"/>
        <v>1.1519999999999999</v>
      </c>
    </row>
    <row r="35" spans="1:9" x14ac:dyDescent="0.2">
      <c r="A35" s="2" vm="118">
        <f ca="1"/>
        <v>45994</v>
      </c>
      <c r="B35" vm="163">
        <f ca="1"/>
        <v>91621.48</v>
      </c>
      <c r="C35" vm="164">
        <f ca="1"/>
        <v>93965.64</v>
      </c>
      <c r="D35" vm="165">
        <f ca="1"/>
        <v>91059.14</v>
      </c>
      <c r="E35" vm="166">
        <f ca="1"/>
        <v>93738.69</v>
      </c>
      <c r="F35" s="4">
        <f t="shared" ca="1" si="0"/>
        <v>2.3103314141419477E-2</v>
      </c>
      <c r="G35" s="4"/>
      <c r="H35" vm="167">
        <f ca="1"/>
        <v>45982</v>
      </c>
      <c r="I35" vm="168">
        <f ca="1"/>
        <v>1.1511</v>
      </c>
    </row>
    <row r="36" spans="1:9" x14ac:dyDescent="0.2">
      <c r="A36" s="2" vm="124">
        <f ca="1"/>
        <v>45993</v>
      </c>
      <c r="B36" vm="169">
        <f ca="1"/>
        <v>86471.33</v>
      </c>
      <c r="C36" vm="170">
        <f ca="1"/>
        <v>92321.34</v>
      </c>
      <c r="D36" vm="171">
        <f ca="1"/>
        <v>86231.94</v>
      </c>
      <c r="E36" vm="172">
        <f ca="1"/>
        <v>91621.92</v>
      </c>
      <c r="F36" s="4">
        <f t="shared" ca="1" si="0"/>
        <v>5.9685947681387019E-2</v>
      </c>
      <c r="G36" s="4"/>
      <c r="H36" vm="173">
        <f ca="1"/>
        <v>45981</v>
      </c>
      <c r="I36" vm="174">
        <f ca="1"/>
        <v>1.1527000000000001</v>
      </c>
    </row>
    <row r="37" spans="1:9" x14ac:dyDescent="0.2">
      <c r="A37" s="2" vm="130">
        <f ca="1"/>
        <v>45992</v>
      </c>
      <c r="B37" vm="175">
        <f ca="1"/>
        <v>91188.5</v>
      </c>
      <c r="C37" vm="176">
        <f ca="1"/>
        <v>91330.93</v>
      </c>
      <c r="D37" vm="177">
        <f ca="1"/>
        <v>83878.009999999995</v>
      </c>
      <c r="E37" vm="178">
        <f ca="1"/>
        <v>86461.39</v>
      </c>
      <c r="F37" s="4">
        <f t="shared" ca="1" si="0"/>
        <v>-5.174810157998868E-2</v>
      </c>
      <c r="G37" s="4"/>
      <c r="H37" vm="179">
        <f ca="1"/>
        <v>45980</v>
      </c>
      <c r="I37" vm="180">
        <f ca="1"/>
        <v>1.1536</v>
      </c>
    </row>
    <row r="38" spans="1:9" x14ac:dyDescent="0.2">
      <c r="A38" s="2" vm="181">
        <f ca="1"/>
        <v>45991</v>
      </c>
      <c r="B38" vm="182">
        <f ca="1"/>
        <v>91041.9</v>
      </c>
      <c r="C38" vm="183">
        <f ca="1"/>
        <v>91949.35</v>
      </c>
      <c r="D38" vm="184">
        <f ca="1"/>
        <v>90530.71</v>
      </c>
      <c r="E38" vm="185">
        <f ca="1"/>
        <v>91179.77</v>
      </c>
      <c r="F38" s="4">
        <f t="shared" ca="1" si="0"/>
        <v>1.5165577971413867E-3</v>
      </c>
      <c r="G38" s="4"/>
      <c r="H38" vm="186">
        <f ca="1"/>
        <v>45979</v>
      </c>
      <c r="I38" vm="187">
        <f ca="1"/>
        <v>1.1578999999999999</v>
      </c>
    </row>
    <row r="39" spans="1:9" x14ac:dyDescent="0.2">
      <c r="A39" s="2" vm="188">
        <f ca="1"/>
        <v>45990</v>
      </c>
      <c r="B39" vm="189">
        <f ca="1"/>
        <v>90942.31</v>
      </c>
      <c r="C39" vm="190">
        <f ca="1"/>
        <v>91212.32</v>
      </c>
      <c r="D39" vm="191">
        <f ca="1"/>
        <v>90273.06</v>
      </c>
      <c r="E39" vm="192">
        <f ca="1"/>
        <v>91041.7</v>
      </c>
      <c r="F39" s="4">
        <f t="shared" ca="1" si="0"/>
        <v>1.2388780043340844E-3</v>
      </c>
      <c r="G39" s="4"/>
      <c r="H39" vm="193">
        <f ca="1"/>
        <v>45978</v>
      </c>
      <c r="I39" vm="194">
        <f ca="1"/>
        <v>1.159</v>
      </c>
    </row>
    <row r="40" spans="1:9" x14ac:dyDescent="0.2">
      <c r="A40" s="2" vm="136">
        <f ca="1"/>
        <v>45989</v>
      </c>
      <c r="B40" vm="195">
        <f ca="1"/>
        <v>91413.75</v>
      </c>
      <c r="C40" vm="196">
        <f ca="1"/>
        <v>92965.45</v>
      </c>
      <c r="D40" vm="197">
        <f ca="1"/>
        <v>90262.81</v>
      </c>
      <c r="E40" vm="198">
        <f ca="1"/>
        <v>90929.05</v>
      </c>
      <c r="F40" s="4">
        <f t="shared" ca="1" si="0"/>
        <v>-5.181360188283364E-3</v>
      </c>
      <c r="G40" s="4"/>
      <c r="H40" vm="199">
        <f ca="1"/>
        <v>45975</v>
      </c>
      <c r="I40" vm="200">
        <f ca="1"/>
        <v>1.1619999999999999</v>
      </c>
    </row>
    <row r="41" spans="1:9" x14ac:dyDescent="0.2">
      <c r="A41" s="2" vm="143">
        <f ca="1"/>
        <v>45988</v>
      </c>
      <c r="B41" vm="201">
        <f ca="1"/>
        <v>90199.6</v>
      </c>
      <c r="C41" vm="202">
        <f ca="1"/>
        <v>91887.5</v>
      </c>
      <c r="D41" vm="203">
        <f ca="1"/>
        <v>90116.64</v>
      </c>
      <c r="E41" vm="204">
        <f ca="1"/>
        <v>91402.64</v>
      </c>
      <c r="F41" s="4">
        <f t="shared" ca="1" si="0"/>
        <v>1.3447078579241383E-2</v>
      </c>
      <c r="G41" s="4"/>
      <c r="H41" vm="205">
        <f ca="1"/>
        <v>45974</v>
      </c>
      <c r="I41" vm="206">
        <f ca="1"/>
        <v>1.1631</v>
      </c>
    </row>
    <row r="42" spans="1:9" x14ac:dyDescent="0.2">
      <c r="A42" s="2" vm="149">
        <f ca="1"/>
        <v>45987</v>
      </c>
      <c r="B42" vm="207">
        <f ca="1"/>
        <v>86983.39</v>
      </c>
      <c r="C42" vm="208">
        <f ca="1"/>
        <v>90386.27</v>
      </c>
      <c r="D42" vm="209">
        <f ca="1"/>
        <v>86340.23</v>
      </c>
      <c r="E42" vm="210">
        <f ca="1"/>
        <v>90189.85</v>
      </c>
      <c r="F42" s="4">
        <f t="shared" ca="1" si="0"/>
        <v>3.6326171076949139E-2</v>
      </c>
      <c r="G42" s="4"/>
      <c r="H42" vm="211">
        <f ca="1"/>
        <v>45973</v>
      </c>
      <c r="I42" vm="212">
        <f ca="1"/>
        <v>1.1592</v>
      </c>
    </row>
    <row r="43" spans="1:9" x14ac:dyDescent="0.2">
      <c r="A43" s="2" vm="155">
        <f ca="1"/>
        <v>45986</v>
      </c>
      <c r="B43" vm="213">
        <f ca="1"/>
        <v>88802.48</v>
      </c>
      <c r="C43" vm="214">
        <f ca="1"/>
        <v>89082.27</v>
      </c>
      <c r="D43" vm="215">
        <f ca="1"/>
        <v>86166.43</v>
      </c>
      <c r="E43" vm="216">
        <f ca="1"/>
        <v>87028.44</v>
      </c>
      <c r="F43" s="4">
        <f t="shared" ca="1" si="0"/>
        <v>-1.9916889084090651E-2</v>
      </c>
      <c r="G43" s="4"/>
      <c r="H43" vm="217">
        <f ca="1"/>
        <v>45972</v>
      </c>
      <c r="I43" vm="218">
        <f ca="1"/>
        <v>1.1579999999999999</v>
      </c>
    </row>
    <row r="44" spans="1:9" x14ac:dyDescent="0.2">
      <c r="A44" s="2" vm="161">
        <f ca="1"/>
        <v>45985</v>
      </c>
      <c r="B44" vm="219">
        <f ca="1"/>
        <v>87996.92</v>
      </c>
      <c r="C44" vm="220">
        <f ca="1"/>
        <v>89214.95</v>
      </c>
      <c r="D44" vm="221">
        <f ca="1"/>
        <v>85267.85</v>
      </c>
      <c r="E44" vm="222">
        <f ca="1"/>
        <v>88797</v>
      </c>
      <c r="F44" s="4">
        <f t="shared" ca="1" si="0"/>
        <v>9.0858293994134018E-3</v>
      </c>
      <c r="G44" s="4"/>
      <c r="H44" vm="223">
        <f ca="1"/>
        <v>45971</v>
      </c>
      <c r="I44" vm="224">
        <f ca="1"/>
        <v>1.1556</v>
      </c>
    </row>
    <row r="45" spans="1:9" x14ac:dyDescent="0.2">
      <c r="A45" s="2" vm="225">
        <f ca="1"/>
        <v>45984</v>
      </c>
      <c r="B45" vm="226">
        <f ca="1"/>
        <v>84413.04</v>
      </c>
      <c r="C45" vm="227">
        <f ca="1"/>
        <v>88001.600000000006</v>
      </c>
      <c r="D45" vm="228">
        <f ca="1"/>
        <v>84269.99</v>
      </c>
      <c r="E45" vm="229">
        <f ca="1"/>
        <v>87997.47</v>
      </c>
      <c r="F45" s="4">
        <f t="shared" ca="1" si="0"/>
        <v>4.2827181029100971E-2</v>
      </c>
      <c r="G45" s="4"/>
      <c r="H45" vm="230">
        <f ca="1"/>
        <v>45968</v>
      </c>
      <c r="I45" vm="231">
        <f ca="1"/>
        <v>1.1565000000000001</v>
      </c>
    </row>
    <row r="46" spans="1:9" x14ac:dyDescent="0.2">
      <c r="A46" s="2" vm="232">
        <f ca="1"/>
        <v>45983</v>
      </c>
      <c r="B46" vm="233">
        <f ca="1"/>
        <v>85151.85</v>
      </c>
      <c r="C46" vm="234">
        <f ca="1"/>
        <v>85570.25</v>
      </c>
      <c r="D46" vm="235">
        <f ca="1"/>
        <v>83586.12</v>
      </c>
      <c r="E46" vm="236">
        <f ca="1"/>
        <v>84383.56</v>
      </c>
      <c r="F46" s="4">
        <f t="shared" ca="1" si="0"/>
        <v>-9.1780434757339144E-3</v>
      </c>
      <c r="G46" s="4"/>
      <c r="H46" vm="237">
        <f ca="1"/>
        <v>45967</v>
      </c>
      <c r="I46" vm="238">
        <f ca="1"/>
        <v>1.1547000000000001</v>
      </c>
    </row>
    <row r="47" spans="1:9" x14ac:dyDescent="0.2">
      <c r="A47" s="2" vm="167">
        <f ca="1"/>
        <v>45982</v>
      </c>
      <c r="B47" vm="239">
        <f ca="1"/>
        <v>87241.03</v>
      </c>
      <c r="C47" vm="240">
        <f ca="1"/>
        <v>88164.88</v>
      </c>
      <c r="D47" vm="241">
        <f ca="1"/>
        <v>80553.36</v>
      </c>
      <c r="E47" vm="242">
        <f ca="1"/>
        <v>85165.21</v>
      </c>
      <c r="F47" s="4">
        <f t="shared" ca="1" si="0"/>
        <v>-2.3564187726989365E-2</v>
      </c>
      <c r="G47" s="4"/>
      <c r="H47" vm="243">
        <f ca="1"/>
        <v>45966</v>
      </c>
      <c r="I47" vm="244">
        <f ca="1"/>
        <v>1.1491</v>
      </c>
    </row>
    <row r="48" spans="1:9" x14ac:dyDescent="0.2">
      <c r="A48" s="2" vm="173">
        <f ca="1"/>
        <v>45981</v>
      </c>
      <c r="B48" vm="245">
        <f ca="1"/>
        <v>90559.96</v>
      </c>
      <c r="C48" vm="246">
        <f ca="1"/>
        <v>93061.91</v>
      </c>
      <c r="D48" vm="247">
        <f ca="1"/>
        <v>86042.8</v>
      </c>
      <c r="E48" vm="248">
        <f ca="1"/>
        <v>87220.49</v>
      </c>
      <c r="F48" s="4">
        <f t="shared" ca="1" si="0"/>
        <v>-3.6611325331280357E-2</v>
      </c>
      <c r="G48" s="4"/>
      <c r="H48" vm="249">
        <f ca="1"/>
        <v>45965</v>
      </c>
      <c r="I48" vm="250">
        <f ca="1"/>
        <v>1.1482000000000001</v>
      </c>
    </row>
    <row r="49" spans="1:9" x14ac:dyDescent="0.2">
      <c r="A49" s="2" vm="179">
        <f ca="1"/>
        <v>45980</v>
      </c>
      <c r="B49" vm="251">
        <f ca="1"/>
        <v>92456.18</v>
      </c>
      <c r="C49" vm="252">
        <f ca="1"/>
        <v>93385.24</v>
      </c>
      <c r="D49" vm="253">
        <f ca="1"/>
        <v>88526.25</v>
      </c>
      <c r="E49" vm="254">
        <f ca="1"/>
        <v>90535.1</v>
      </c>
      <c r="F49" s="4">
        <f t="shared" ca="1" si="0"/>
        <v>-2.0837582836929953E-2</v>
      </c>
      <c r="G49" s="4"/>
      <c r="H49" vm="255">
        <f ca="1"/>
        <v>45964</v>
      </c>
      <c r="I49" vm="256">
        <f ca="1"/>
        <v>1.1517999999999999</v>
      </c>
    </row>
    <row r="50" spans="1:9" x14ac:dyDescent="0.2">
      <c r="A50" s="2" vm="186">
        <f ca="1"/>
        <v>45979</v>
      </c>
      <c r="B50" vm="257">
        <f ca="1"/>
        <v>91817.22</v>
      </c>
      <c r="C50" vm="258">
        <f ca="1"/>
        <v>93786.43</v>
      </c>
      <c r="D50" vm="259">
        <f ca="1"/>
        <v>89286.75</v>
      </c>
      <c r="E50" vm="260">
        <f ca="1"/>
        <v>92461.78</v>
      </c>
      <c r="F50" s="4">
        <f t="shared" ca="1" si="0"/>
        <v>7.1386082954337862E-3</v>
      </c>
      <c r="G50" s="4"/>
      <c r="H50" vm="261">
        <f ca="1"/>
        <v>45961</v>
      </c>
      <c r="I50" vm="262">
        <f ca="1"/>
        <v>1.1534</v>
      </c>
    </row>
    <row r="51" spans="1:9" x14ac:dyDescent="0.2">
      <c r="A51" s="2" vm="193">
        <f ca="1"/>
        <v>45978</v>
      </c>
      <c r="B51" vm="263">
        <f ca="1"/>
        <v>93428.91</v>
      </c>
      <c r="C51" vm="264">
        <f ca="1"/>
        <v>95954.49</v>
      </c>
      <c r="D51" vm="265">
        <f ca="1"/>
        <v>91195.49</v>
      </c>
      <c r="E51" vm="266">
        <f ca="1"/>
        <v>91806.41</v>
      </c>
      <c r="F51" s="4">
        <f t="shared" ca="1" si="0"/>
        <v>-1.7489394067655591E-2</v>
      </c>
      <c r="G51" s="4"/>
      <c r="H51" vm="267">
        <f ca="1"/>
        <v>45960</v>
      </c>
      <c r="I51" vm="231">
        <f ca="1"/>
        <v>1.1565000000000001</v>
      </c>
    </row>
    <row r="52" spans="1:9" x14ac:dyDescent="0.2">
      <c r="A52" s="2" vm="268">
        <f ca="1"/>
        <v>45977</v>
      </c>
      <c r="B52" vm="269">
        <f ca="1"/>
        <v>95224.39</v>
      </c>
      <c r="C52" vm="270">
        <f ca="1"/>
        <v>96560.13</v>
      </c>
      <c r="D52" vm="271">
        <f ca="1"/>
        <v>93348.91</v>
      </c>
      <c r="E52" vm="272">
        <f ca="1"/>
        <v>93440.63</v>
      </c>
      <c r="F52" s="4">
        <f t="shared" ca="1" si="0"/>
        <v>-1.8466136784813358E-2</v>
      </c>
      <c r="G52" s="4"/>
      <c r="H52" vm="273">
        <f ca="1"/>
        <v>45959</v>
      </c>
      <c r="I52" vm="274">
        <f ca="1"/>
        <v>1.1598999999999999</v>
      </c>
    </row>
    <row r="53" spans="1:9" x14ac:dyDescent="0.2">
      <c r="A53" s="2" vm="275">
        <f ca="1"/>
        <v>45976</v>
      </c>
      <c r="B53" vm="276">
        <f ca="1"/>
        <v>95013.78</v>
      </c>
      <c r="C53" vm="277">
        <f ca="1"/>
        <v>96758.93</v>
      </c>
      <c r="D53" vm="278">
        <f ca="1"/>
        <v>94041.41</v>
      </c>
      <c r="E53" vm="279">
        <f ca="1"/>
        <v>95198.58</v>
      </c>
      <c r="F53" s="4">
        <f t="shared" ca="1" si="0"/>
        <v>1.9854764669886057E-3</v>
      </c>
      <c r="G53" s="4"/>
      <c r="H53" vm="280">
        <f ca="1"/>
        <v>45958</v>
      </c>
      <c r="I53" vm="281">
        <f ca="1"/>
        <v>1.165</v>
      </c>
    </row>
    <row r="54" spans="1:9" x14ac:dyDescent="0.2">
      <c r="A54" s="2" vm="199">
        <f ca="1"/>
        <v>45975</v>
      </c>
      <c r="B54" vm="282">
        <f ca="1"/>
        <v>98789.78</v>
      </c>
      <c r="C54" vm="283">
        <f ca="1"/>
        <v>100432.88</v>
      </c>
      <c r="D54" vm="284">
        <f ca="1"/>
        <v>94158.97</v>
      </c>
      <c r="E54" vm="285">
        <f ca="1"/>
        <v>95009.94</v>
      </c>
      <c r="F54" s="4">
        <f t="shared" ca="1" si="0"/>
        <v>-3.8393341600935917E-2</v>
      </c>
      <c r="G54" s="4"/>
      <c r="H54" vm="286">
        <f ca="1"/>
        <v>45957</v>
      </c>
      <c r="I54" vm="113">
        <f ca="1"/>
        <v>1.1642999999999999</v>
      </c>
    </row>
    <row r="55" spans="1:9" x14ac:dyDescent="0.2">
      <c r="A55" s="2" vm="205">
        <f ca="1"/>
        <v>45974</v>
      </c>
      <c r="B55" vm="287">
        <f ca="1"/>
        <v>101889.06</v>
      </c>
      <c r="C55" vm="288">
        <f ca="1"/>
        <v>104002.33</v>
      </c>
      <c r="D55" vm="289">
        <f ca="1"/>
        <v>97991.69</v>
      </c>
      <c r="E55" vm="290">
        <f ca="1"/>
        <v>98803.33</v>
      </c>
      <c r="F55" s="4">
        <f t="shared" ca="1" si="0"/>
        <v>-3.0157169120263415E-2</v>
      </c>
      <c r="G55" s="4"/>
      <c r="H55" vm="291">
        <f ca="1"/>
        <v>45954</v>
      </c>
      <c r="I55" vm="93">
        <f ca="1"/>
        <v>1.1625000000000001</v>
      </c>
    </row>
    <row r="56" spans="1:9" x14ac:dyDescent="0.2">
      <c r="A56" s="2" vm="211">
        <f ca="1"/>
        <v>45973</v>
      </c>
      <c r="B56" vm="292">
        <f ca="1"/>
        <v>102623.02</v>
      </c>
      <c r="C56" vm="293">
        <f ca="1"/>
        <v>105294.2</v>
      </c>
      <c r="D56" vm="294">
        <f ca="1"/>
        <v>100886.72</v>
      </c>
      <c r="E56" vm="295">
        <f ca="1"/>
        <v>101875.61</v>
      </c>
      <c r="F56" s="4">
        <f t="shared" ca="1" si="0"/>
        <v>-7.5440810965336901E-3</v>
      </c>
      <c r="G56" s="4"/>
      <c r="H56" vm="296">
        <f ca="1"/>
        <v>45953</v>
      </c>
      <c r="I56" vm="297">
        <f ca="1"/>
        <v>1.1617</v>
      </c>
    </row>
    <row r="57" spans="1:9" x14ac:dyDescent="0.2">
      <c r="A57" s="2" vm="217">
        <f ca="1"/>
        <v>45972</v>
      </c>
      <c r="B57" vm="298">
        <f ca="1"/>
        <v>105624.7</v>
      </c>
      <c r="C57" vm="299">
        <f ca="1"/>
        <v>107454.99</v>
      </c>
      <c r="D57" vm="300">
        <f ca="1"/>
        <v>102489.24</v>
      </c>
      <c r="E57" vm="301">
        <f ca="1"/>
        <v>102650.01</v>
      </c>
      <c r="F57" s="4">
        <f t="shared" ca="1" si="0"/>
        <v>-2.8038782243023103E-2</v>
      </c>
      <c r="G57" s="4"/>
      <c r="H57" vm="302">
        <f ca="1"/>
        <v>45952</v>
      </c>
      <c r="I57" vm="131">
        <f ca="1"/>
        <v>1.161</v>
      </c>
    </row>
    <row r="58" spans="1:9" x14ac:dyDescent="0.2">
      <c r="A58" s="2" vm="223">
        <f ca="1"/>
        <v>45971</v>
      </c>
      <c r="B58" vm="303">
        <f ca="1"/>
        <v>104502.24</v>
      </c>
      <c r="C58" vm="304">
        <f ca="1"/>
        <v>106614.9</v>
      </c>
      <c r="D58" vm="305">
        <f ca="1"/>
        <v>104162.91</v>
      </c>
      <c r="E58" vm="306">
        <f ca="1"/>
        <v>105611.22</v>
      </c>
      <c r="F58" s="4">
        <f t="shared" ca="1" si="0"/>
        <v>1.0559318649182647E-2</v>
      </c>
      <c r="G58" s="4"/>
      <c r="H58" vm="307">
        <f ca="1"/>
        <v>45951</v>
      </c>
      <c r="I58" vm="308">
        <f ca="1"/>
        <v>1.1597999999999999</v>
      </c>
    </row>
    <row r="59" spans="1:9" x14ac:dyDescent="0.2">
      <c r="A59" s="2" vm="309">
        <f ca="1"/>
        <v>45970</v>
      </c>
      <c r="B59" vm="310">
        <f ca="1"/>
        <v>102318.67</v>
      </c>
      <c r="C59" vm="311">
        <f ca="1"/>
        <v>105000.31</v>
      </c>
      <c r="D59" vm="312">
        <f ca="1"/>
        <v>101509.56</v>
      </c>
      <c r="E59" vm="313">
        <f ca="1"/>
        <v>104507.69</v>
      </c>
      <c r="F59" s="4">
        <f t="shared" ca="1" si="0"/>
        <v>2.1472309288048129E-2</v>
      </c>
      <c r="G59" s="4"/>
      <c r="H59" vm="314">
        <f ca="1"/>
        <v>45950</v>
      </c>
      <c r="I59" vm="315">
        <f ca="1"/>
        <v>1.1639999999999999</v>
      </c>
    </row>
    <row r="60" spans="1:9" x14ac:dyDescent="0.2">
      <c r="A60" s="2" vm="316">
        <f ca="1"/>
        <v>45969</v>
      </c>
      <c r="B60" vm="317">
        <f ca="1"/>
        <v>103848.43</v>
      </c>
      <c r="C60" vm="318">
        <f ca="1"/>
        <v>104029.75999999999</v>
      </c>
      <c r="D60" vm="319">
        <f ca="1"/>
        <v>101498.58</v>
      </c>
      <c r="E60" vm="320">
        <f ca="1"/>
        <v>102310.84</v>
      </c>
      <c r="F60" s="4">
        <f t="shared" ca="1" si="0"/>
        <v>-1.4607972546785572E-2</v>
      </c>
      <c r="G60" s="4"/>
      <c r="H60" vm="321">
        <f ca="1"/>
        <v>45947</v>
      </c>
      <c r="I60" vm="322">
        <f ca="1"/>
        <v>1.1651</v>
      </c>
    </row>
    <row r="61" spans="1:9" x14ac:dyDescent="0.2">
      <c r="A61" s="2" vm="230">
        <f ca="1"/>
        <v>45968</v>
      </c>
      <c r="B61" vm="323">
        <f ca="1"/>
        <v>101062.61</v>
      </c>
      <c r="C61" vm="324">
        <f ca="1"/>
        <v>103857.01</v>
      </c>
      <c r="D61" vm="325">
        <f ca="1"/>
        <v>99289.81</v>
      </c>
      <c r="E61" vm="326">
        <f ca="1"/>
        <v>103827.55</v>
      </c>
      <c r="F61" s="4">
        <f t="shared" ca="1" si="0"/>
        <v>2.7110703937133052E-2</v>
      </c>
      <c r="G61" s="4"/>
      <c r="H61" vm="327">
        <f ca="1"/>
        <v>45946</v>
      </c>
      <c r="I61" vm="328">
        <f ca="1"/>
        <v>1.1687000000000001</v>
      </c>
    </row>
    <row r="62" spans="1:9" x14ac:dyDescent="0.2">
      <c r="A62" s="2" vm="237">
        <f ca="1"/>
        <v>45967</v>
      </c>
      <c r="B62" vm="329">
        <f ca="1"/>
        <v>103671.07</v>
      </c>
      <c r="C62" vm="330">
        <f ca="1"/>
        <v>104165.87</v>
      </c>
      <c r="D62" vm="331">
        <f ca="1"/>
        <v>100349.8</v>
      </c>
      <c r="E62" vm="332">
        <f ca="1"/>
        <v>101087.01</v>
      </c>
      <c r="F62" s="4">
        <f t="shared" ca="1" si="0"/>
        <v>-2.4889258618998347E-2</v>
      </c>
      <c r="G62" s="4"/>
      <c r="H62" vm="333">
        <f ca="1"/>
        <v>45945</v>
      </c>
      <c r="I62" vm="334">
        <f ca="1"/>
        <v>1.1646000000000001</v>
      </c>
    </row>
    <row r="63" spans="1:9" x14ac:dyDescent="0.2">
      <c r="A63" s="2" vm="243">
        <f ca="1"/>
        <v>45966</v>
      </c>
      <c r="B63" vm="335">
        <f ca="1"/>
        <v>100256.89</v>
      </c>
      <c r="C63" vm="336">
        <f ca="1"/>
        <v>104524.68</v>
      </c>
      <c r="D63" vm="337">
        <f ca="1"/>
        <v>98995.33</v>
      </c>
      <c r="E63" vm="338">
        <f ca="1"/>
        <v>103667.21</v>
      </c>
      <c r="F63" s="4">
        <f t="shared" ca="1" si="0"/>
        <v>3.3539648034736365E-2</v>
      </c>
      <c r="G63" s="4"/>
      <c r="H63" vm="339">
        <f ca="1"/>
        <v>45944</v>
      </c>
      <c r="I63" vm="340">
        <f ca="1"/>
        <v>1.1605000000000001</v>
      </c>
    </row>
    <row r="64" spans="1:9" x14ac:dyDescent="0.2">
      <c r="A64" s="2" vm="249">
        <f ca="1"/>
        <v>45965</v>
      </c>
      <c r="B64" vm="341">
        <f ca="1"/>
        <v>106868.11</v>
      </c>
      <c r="C64" vm="342">
        <f ca="1"/>
        <v>107289.83</v>
      </c>
      <c r="D64" vm="343">
        <f ca="1"/>
        <v>98992.09</v>
      </c>
      <c r="E64" vm="344">
        <f ca="1"/>
        <v>100303.08</v>
      </c>
      <c r="F64" s="4">
        <f t="shared" ca="1" si="0"/>
        <v>-6.1411556242273048E-2</v>
      </c>
      <c r="G64" s="4"/>
      <c r="H64" vm="345">
        <f ca="1"/>
        <v>45943</v>
      </c>
      <c r="I64" vm="346">
        <f ca="1"/>
        <v>1.1568000000000001</v>
      </c>
    </row>
    <row r="65" spans="1:9" x14ac:dyDescent="0.2">
      <c r="A65" s="2" vm="255">
        <f ca="1"/>
        <v>45964</v>
      </c>
      <c r="B65" vm="347">
        <f ca="1"/>
        <v>110031.34</v>
      </c>
      <c r="C65" vm="348">
        <f ca="1"/>
        <v>110730.91</v>
      </c>
      <c r="D65" vm="349">
        <f ca="1"/>
        <v>105367.41</v>
      </c>
      <c r="E65" vm="350">
        <f ca="1"/>
        <v>106865.88</v>
      </c>
      <c r="F65" s="4">
        <f t="shared" ca="1" si="0"/>
        <v>-2.8729872883859149E-2</v>
      </c>
      <c r="G65" s="4"/>
      <c r="H65" vm="351">
        <f ca="1"/>
        <v>45940</v>
      </c>
      <c r="I65" vm="352">
        <f ca="1"/>
        <v>1.1617999999999999</v>
      </c>
    </row>
    <row r="66" spans="1:9" x14ac:dyDescent="0.2">
      <c r="A66" s="2" vm="353">
        <f ca="1"/>
        <v>45963</v>
      </c>
      <c r="B66" vm="354">
        <f ca="1"/>
        <v>110429.37</v>
      </c>
      <c r="C66" vm="355">
        <f ca="1"/>
        <v>111180.54</v>
      </c>
      <c r="D66" vm="356">
        <f ca="1"/>
        <v>109759.78</v>
      </c>
      <c r="E66" vm="357">
        <f ca="1"/>
        <v>110026.94</v>
      </c>
      <c r="F66" s="4">
        <f t="shared" ca="1" si="0"/>
        <v>5.3111288286808158E-3</v>
      </c>
      <c r="G66" s="4"/>
      <c r="H66" vm="358">
        <f ca="1"/>
        <v>45939</v>
      </c>
      <c r="I66" vm="359">
        <f ca="1"/>
        <v>1.1563000000000001</v>
      </c>
    </row>
    <row r="67" spans="1:9" x14ac:dyDescent="0.2">
      <c r="A67" s="2" vm="261">
        <f ca="1"/>
        <v>45961</v>
      </c>
      <c r="B67" vm="360">
        <f ca="1"/>
        <v>107502.59</v>
      </c>
      <c r="C67" vm="361">
        <f ca="1"/>
        <v>111110.56</v>
      </c>
      <c r="D67" vm="362">
        <f ca="1"/>
        <v>107434.23</v>
      </c>
      <c r="E67" vm="363">
        <f ca="1"/>
        <v>109445.66</v>
      </c>
      <c r="F67" s="4">
        <f t="shared" ca="1" si="0"/>
        <v>1.7817014446227936E-2</v>
      </c>
      <c r="G67" s="4"/>
      <c r="H67" vm="364">
        <f ca="1"/>
        <v>45938</v>
      </c>
      <c r="I67" vm="365">
        <f ca="1"/>
        <v>1.1626000000000001</v>
      </c>
    </row>
    <row r="68" spans="1:9" x14ac:dyDescent="0.2">
      <c r="A68" s="2" vm="267">
        <f ca="1"/>
        <v>45960</v>
      </c>
      <c r="B68" vm="366">
        <f ca="1"/>
        <v>111473.94</v>
      </c>
      <c r="C68" vm="367">
        <f ca="1"/>
        <v>111832.05</v>
      </c>
      <c r="D68" vm="368">
        <f ca="1"/>
        <v>106396.16</v>
      </c>
      <c r="E68" vm="369">
        <f ca="1"/>
        <v>107529.8</v>
      </c>
      <c r="F68" s="4">
        <f t="shared" ca="1" si="0"/>
        <v>-3.5401451538274245E-2</v>
      </c>
      <c r="G68" s="4"/>
      <c r="H68" vm="370">
        <f ca="1"/>
        <v>45937</v>
      </c>
      <c r="I68" vm="371">
        <f ca="1"/>
        <v>1.1655</v>
      </c>
    </row>
    <row r="69" spans="1:9" x14ac:dyDescent="0.2">
      <c r="A69" s="2" vm="273">
        <f ca="1"/>
        <v>45959</v>
      </c>
      <c r="B69" vm="372">
        <f ca="1"/>
        <v>112754.37</v>
      </c>
      <c r="C69" vm="373">
        <f ca="1"/>
        <v>113662.84</v>
      </c>
      <c r="D69" vm="374">
        <f ca="1"/>
        <v>109319.36</v>
      </c>
      <c r="E69" vm="375">
        <f ca="1"/>
        <v>111476.22</v>
      </c>
      <c r="F69" s="4">
        <f t="shared" ca="1" si="0"/>
        <v>-1.2105485685633782E-2</v>
      </c>
      <c r="G69" s="4"/>
      <c r="H69" vm="376">
        <f ca="1"/>
        <v>45936</v>
      </c>
      <c r="I69" vm="377">
        <f ca="1"/>
        <v>1.1709000000000001</v>
      </c>
    </row>
    <row r="70" spans="1:9" x14ac:dyDescent="0.2">
      <c r="A70" s="2" vm="280">
        <f ca="1"/>
        <v>45958</v>
      </c>
      <c r="B70" vm="378">
        <f ca="1"/>
        <v>114486.84</v>
      </c>
      <c r="C70" vm="379">
        <f ca="1"/>
        <v>116061.89</v>
      </c>
      <c r="D70" vm="380">
        <f ca="1"/>
        <v>112410.45</v>
      </c>
      <c r="E70" vm="381">
        <f ca="1"/>
        <v>112842.23</v>
      </c>
      <c r="F70" s="4">
        <f t="shared" ca="1" si="0"/>
        <v>-1.4662327680648004E-2</v>
      </c>
      <c r="G70" s="4"/>
      <c r="H70" vm="382">
        <f ca="1"/>
        <v>45933</v>
      </c>
      <c r="I70" vm="383">
        <f ca="1"/>
        <v>1.1740999999999999</v>
      </c>
    </row>
    <row r="71" spans="1:9" x14ac:dyDescent="0.2">
      <c r="A71" s="2" vm="286">
        <f ca="1"/>
        <v>45957</v>
      </c>
      <c r="B71" vm="384">
        <f ca="1"/>
        <v>113362.94</v>
      </c>
      <c r="C71" vm="385">
        <f ca="1"/>
        <v>116272.47</v>
      </c>
      <c r="D71" vm="386">
        <f ca="1"/>
        <v>112993.14</v>
      </c>
      <c r="E71" vm="387">
        <f ca="1"/>
        <v>114521.38</v>
      </c>
      <c r="F71" s="4">
        <f t="shared" ca="1" si="0"/>
        <v>9.9756381148853671E-3</v>
      </c>
      <c r="G71" s="4"/>
      <c r="H71" vm="388">
        <f ca="1"/>
        <v>45932</v>
      </c>
      <c r="I71" vm="389">
        <f ca="1"/>
        <v>1.1714</v>
      </c>
    </row>
    <row r="72" spans="1:9" x14ac:dyDescent="0.2">
      <c r="A72" s="2" vm="390">
        <f ca="1"/>
        <v>45956</v>
      </c>
      <c r="B72" vm="391">
        <f ca="1"/>
        <v>111461.81</v>
      </c>
      <c r="C72" vm="392">
        <f ca="1"/>
        <v>113966.42</v>
      </c>
      <c r="D72" vm="393">
        <f ca="1"/>
        <v>111277.61</v>
      </c>
      <c r="E72" vm="394">
        <f ca="1"/>
        <v>113390.24</v>
      </c>
      <c r="F72" s="4">
        <f t="shared" ca="1" si="0"/>
        <v>1.7394547713496137E-2</v>
      </c>
      <c r="G72" s="4"/>
      <c r="H72" vm="395">
        <f ca="1"/>
        <v>45931</v>
      </c>
      <c r="I72" vm="396">
        <f ca="1"/>
        <v>1.1729000000000001</v>
      </c>
    </row>
    <row r="73" spans="1:9" x14ac:dyDescent="0.2">
      <c r="A73" s="2" vm="397">
        <f ca="1"/>
        <v>45955</v>
      </c>
      <c r="B73" vm="398">
        <f ca="1"/>
        <v>110905.19</v>
      </c>
      <c r="C73" vm="399">
        <f ca="1"/>
        <v>111934.5</v>
      </c>
      <c r="D73" vm="400">
        <f ca="1"/>
        <v>110679.44</v>
      </c>
      <c r="E73" vm="401">
        <f ca="1"/>
        <v>111451.59</v>
      </c>
      <c r="F73" s="4">
        <f t="shared" ca="1" si="0"/>
        <v>5.1408002249606448E-3</v>
      </c>
      <c r="G73" s="4"/>
      <c r="H73" vm="402">
        <f ca="1"/>
        <v>45930</v>
      </c>
      <c r="I73" vm="403">
        <f ca="1"/>
        <v>1.1733</v>
      </c>
    </row>
    <row r="74" spans="1:9" x14ac:dyDescent="0.2">
      <c r="A74" s="2" vm="291">
        <f ca="1"/>
        <v>45954</v>
      </c>
      <c r="B74" vm="404">
        <f ca="1"/>
        <v>109492.22</v>
      </c>
      <c r="C74" vm="405">
        <f ca="1"/>
        <v>111992.42</v>
      </c>
      <c r="D74" vm="406">
        <f ca="1"/>
        <v>109449.81</v>
      </c>
      <c r="E74" vm="407">
        <f ca="1"/>
        <v>110881.57</v>
      </c>
      <c r="F74" s="4">
        <f t="shared" ca="1" si="0"/>
        <v>1.1711249580740801E-2</v>
      </c>
      <c r="G74" s="4"/>
      <c r="H74" vm="408">
        <f ca="1"/>
        <v>45929</v>
      </c>
      <c r="I74" vm="409">
        <f ca="1"/>
        <v>1.1725000000000001</v>
      </c>
    </row>
    <row r="75" spans="1:9" x14ac:dyDescent="0.2">
      <c r="A75" s="2" vm="296">
        <f ca="1"/>
        <v>45953</v>
      </c>
      <c r="B75" vm="410">
        <f ca="1"/>
        <v>107696.76</v>
      </c>
      <c r="C75" vm="411">
        <f ca="1"/>
        <v>111310.2</v>
      </c>
      <c r="D75" vm="412">
        <f ca="1"/>
        <v>106765.32</v>
      </c>
      <c r="E75" vm="413">
        <f ca="1"/>
        <v>109598.04</v>
      </c>
      <c r="F75" s="4">
        <f t="shared" ref="F75:F138" ca="1" si="1">((E75-E76)/E76)</f>
        <v>1.7795204427265312E-2</v>
      </c>
      <c r="G75" s="4"/>
      <c r="H75" vm="414">
        <f ca="1"/>
        <v>45926</v>
      </c>
      <c r="I75" vm="415">
        <f ca="1"/>
        <v>1.1700999999999999</v>
      </c>
    </row>
    <row r="76" spans="1:9" x14ac:dyDescent="0.2">
      <c r="A76" s="2" vm="302">
        <f ca="1"/>
        <v>45952</v>
      </c>
      <c r="B76" vm="416">
        <f ca="1"/>
        <v>110833.62</v>
      </c>
      <c r="C76" vm="417">
        <f ca="1"/>
        <v>111161.92</v>
      </c>
      <c r="D76" vm="418">
        <f ca="1"/>
        <v>107032.67</v>
      </c>
      <c r="E76" vm="419">
        <f ca="1"/>
        <v>107681.82</v>
      </c>
      <c r="F76" s="4">
        <f t="shared" ca="1" si="1"/>
        <v>-2.921842676001438E-2</v>
      </c>
      <c r="G76" s="4"/>
      <c r="H76" vm="420">
        <f ca="1"/>
        <v>45925</v>
      </c>
      <c r="I76" vm="421">
        <f ca="1"/>
        <v>1.1665000000000001</v>
      </c>
    </row>
    <row r="77" spans="1:9" x14ac:dyDescent="0.2">
      <c r="A77" s="2" vm="307">
        <f ca="1"/>
        <v>45951</v>
      </c>
      <c r="B77" vm="422">
        <f ca="1"/>
        <v>111135.18</v>
      </c>
      <c r="C77" vm="423">
        <f ca="1"/>
        <v>114088.76</v>
      </c>
      <c r="D77" vm="424">
        <f ca="1"/>
        <v>107547.67</v>
      </c>
      <c r="E77" vm="425">
        <f ca="1"/>
        <v>110922.81</v>
      </c>
      <c r="F77" s="4">
        <f t="shared" ca="1" si="1"/>
        <v>-1.4840530906805461E-3</v>
      </c>
      <c r="G77" s="4"/>
      <c r="H77" vm="426">
        <f ca="1"/>
        <v>45924</v>
      </c>
      <c r="I77" vm="427">
        <f ca="1"/>
        <v>1.1737</v>
      </c>
    </row>
    <row r="78" spans="1:9" x14ac:dyDescent="0.2">
      <c r="A78" s="2" vm="314">
        <f ca="1"/>
        <v>45950</v>
      </c>
      <c r="B78" vm="428">
        <f ca="1"/>
        <v>108958.54</v>
      </c>
      <c r="C78" vm="429">
        <f ca="1"/>
        <v>111771.78</v>
      </c>
      <c r="D78" vm="430">
        <f ca="1"/>
        <v>107528.4</v>
      </c>
      <c r="E78" vm="431">
        <f ca="1"/>
        <v>111087.67</v>
      </c>
      <c r="F78" s="4">
        <f t="shared" ca="1" si="1"/>
        <v>3.707482564519788E-2</v>
      </c>
      <c r="G78" s="4"/>
      <c r="H78" vm="432">
        <f ca="1"/>
        <v>45923</v>
      </c>
      <c r="I78" vm="433">
        <f ca="1"/>
        <v>1.1815</v>
      </c>
    </row>
    <row r="79" spans="1:9" x14ac:dyDescent="0.2">
      <c r="A79" s="2" vm="434">
        <f ca="1"/>
        <v>45948</v>
      </c>
      <c r="B79" vm="435">
        <f ca="1"/>
        <v>107087.77</v>
      </c>
      <c r="C79" vm="436">
        <f ca="1"/>
        <v>107540.15</v>
      </c>
      <c r="D79" vm="437">
        <f ca="1"/>
        <v>106382.35</v>
      </c>
      <c r="E79" vm="438">
        <f ca="1"/>
        <v>107116.35</v>
      </c>
      <c r="F79" s="4">
        <f t="shared" ca="1" si="1"/>
        <v>2.8509843786972763E-4</v>
      </c>
      <c r="G79" s="4"/>
      <c r="H79" vm="439">
        <f ca="1"/>
        <v>45922</v>
      </c>
      <c r="I79" vm="440">
        <f ca="1"/>
        <v>1.1801999999999999</v>
      </c>
    </row>
    <row r="80" spans="1:9" x14ac:dyDescent="0.2">
      <c r="A80" s="2" vm="321">
        <f ca="1"/>
        <v>45947</v>
      </c>
      <c r="B80" vm="441">
        <f ca="1"/>
        <v>107892.3</v>
      </c>
      <c r="C80" vm="442">
        <f ca="1"/>
        <v>109275.7</v>
      </c>
      <c r="D80" vm="443">
        <f ca="1"/>
        <v>103659.76</v>
      </c>
      <c r="E80" vm="444">
        <f ca="1"/>
        <v>107085.82</v>
      </c>
      <c r="F80" s="4">
        <f t="shared" ca="1" si="1"/>
        <v>-7.1280216951319338E-3</v>
      </c>
      <c r="G80" s="4"/>
      <c r="H80" vm="445">
        <f ca="1"/>
        <v>45919</v>
      </c>
      <c r="I80" vm="446">
        <f ca="1"/>
        <v>1.1744000000000001</v>
      </c>
    </row>
    <row r="81" spans="1:9" x14ac:dyDescent="0.2">
      <c r="A81" s="2" vm="327">
        <f ca="1"/>
        <v>45946</v>
      </c>
      <c r="B81" vm="447">
        <f ca="1"/>
        <v>111199.52</v>
      </c>
      <c r="C81" vm="448">
        <f ca="1"/>
        <v>112013.4</v>
      </c>
      <c r="D81" vm="449">
        <f ca="1"/>
        <v>107544.26</v>
      </c>
      <c r="E81" vm="450">
        <f ca="1"/>
        <v>107854.61</v>
      </c>
      <c r="F81" s="4">
        <f t="shared" ca="1" si="1"/>
        <v>-3.0091943533530226E-2</v>
      </c>
      <c r="G81" s="4"/>
      <c r="H81" vm="451">
        <f ca="1"/>
        <v>45918</v>
      </c>
      <c r="I81" vm="452">
        <f ca="1"/>
        <v>1.1786000000000001</v>
      </c>
    </row>
    <row r="82" spans="1:9" x14ac:dyDescent="0.2">
      <c r="A82" s="2" vm="333">
        <f ca="1"/>
        <v>45945</v>
      </c>
      <c r="B82" vm="453">
        <f ca="1"/>
        <v>113064.55</v>
      </c>
      <c r="C82" vm="454">
        <f ca="1"/>
        <v>113668.33</v>
      </c>
      <c r="D82" vm="455">
        <f ca="1"/>
        <v>110286.09</v>
      </c>
      <c r="E82" vm="456">
        <f ca="1"/>
        <v>111200.86</v>
      </c>
      <c r="F82" s="4">
        <f t="shared" ca="1" si="1"/>
        <v>-1.6466975038443309E-2</v>
      </c>
      <c r="G82" s="4"/>
      <c r="H82" vm="457">
        <f ca="1"/>
        <v>45917</v>
      </c>
      <c r="I82" vm="458">
        <f ca="1"/>
        <v>1.1812</v>
      </c>
    </row>
    <row r="83" spans="1:9" x14ac:dyDescent="0.2">
      <c r="A83" s="2" vm="339">
        <f ca="1"/>
        <v>45944</v>
      </c>
      <c r="B83" vm="459">
        <f ca="1"/>
        <v>115889.71</v>
      </c>
      <c r="C83" vm="460">
        <f ca="1"/>
        <v>115915.44</v>
      </c>
      <c r="D83" vm="461">
        <f ca="1"/>
        <v>110023.78</v>
      </c>
      <c r="E83" vm="462">
        <f ca="1"/>
        <v>113062.66</v>
      </c>
      <c r="F83" s="4">
        <f t="shared" ca="1" si="1"/>
        <v>-2.3642393130390005E-2</v>
      </c>
      <c r="G83" s="4"/>
      <c r="H83" vm="463">
        <f ca="1"/>
        <v>45916</v>
      </c>
      <c r="I83" vm="464">
        <f ca="1"/>
        <v>1.1866000000000001</v>
      </c>
    </row>
    <row r="84" spans="1:9" x14ac:dyDescent="0.2">
      <c r="A84" s="2" vm="345">
        <f ca="1"/>
        <v>45943</v>
      </c>
      <c r="B84" vm="465">
        <f ca="1"/>
        <v>115079.71</v>
      </c>
      <c r="C84" vm="466">
        <f ca="1"/>
        <v>116018.68</v>
      </c>
      <c r="D84" vm="467">
        <f ca="1"/>
        <v>113932.38</v>
      </c>
      <c r="E84" vm="468">
        <f ca="1"/>
        <v>115800.46</v>
      </c>
      <c r="F84" s="4">
        <f t="shared" ca="1" si="1"/>
        <v>6.4367370546719862E-3</v>
      </c>
      <c r="G84" s="4"/>
      <c r="H84" vm="469">
        <f ca="1"/>
        <v>45915</v>
      </c>
      <c r="I84" vm="37">
        <f ca="1"/>
        <v>1.1759999999999999</v>
      </c>
    </row>
    <row r="85" spans="1:9" x14ac:dyDescent="0.2">
      <c r="A85" s="2" vm="470">
        <f ca="1"/>
        <v>45942</v>
      </c>
      <c r="B85" vm="471">
        <f ca="1"/>
        <v>110409.93</v>
      </c>
      <c r="C85" vm="472">
        <f ca="1"/>
        <v>115537.44</v>
      </c>
      <c r="D85" vm="473">
        <f ca="1"/>
        <v>109749.1</v>
      </c>
      <c r="E85" vm="474">
        <f ca="1"/>
        <v>115059.85</v>
      </c>
      <c r="F85" s="4">
        <f t="shared" ca="1" si="1"/>
        <v>4.1841499355480906E-2</v>
      </c>
      <c r="G85" s="4"/>
      <c r="H85" vm="475">
        <f ca="1"/>
        <v>45912</v>
      </c>
      <c r="I85" vm="403">
        <f ca="1"/>
        <v>1.1733</v>
      </c>
    </row>
    <row r="86" spans="1:9" x14ac:dyDescent="0.2">
      <c r="A86" s="2" vm="476">
        <f ca="1"/>
        <v>45941</v>
      </c>
      <c r="B86" vm="477">
        <f ca="1"/>
        <v>114588.56</v>
      </c>
      <c r="C86" vm="478">
        <f ca="1"/>
        <v>115610.64</v>
      </c>
      <c r="D86" vm="479">
        <f ca="1"/>
        <v>104782.88</v>
      </c>
      <c r="E86" vm="480">
        <f ca="1"/>
        <v>110438.92</v>
      </c>
      <c r="F86" s="4">
        <f t="shared" ca="1" si="1"/>
        <v>-3.4545833470290936E-2</v>
      </c>
      <c r="G86" s="4"/>
      <c r="H86" vm="481">
        <f ca="1"/>
        <v>45911</v>
      </c>
      <c r="I86" vm="403">
        <f ca="1"/>
        <v>1.1733</v>
      </c>
    </row>
    <row r="87" spans="1:9" x14ac:dyDescent="0.2">
      <c r="A87" s="2" vm="351">
        <f ca="1"/>
        <v>45940</v>
      </c>
      <c r="B87" vm="482">
        <f ca="1"/>
        <v>121157.44</v>
      </c>
      <c r="C87" vm="483">
        <f ca="1"/>
        <v>122574.46</v>
      </c>
      <c r="D87" vm="484">
        <f ca="1"/>
        <v>113180.8</v>
      </c>
      <c r="E87" vm="485">
        <f ca="1"/>
        <v>114390.64</v>
      </c>
      <c r="F87" s="4">
        <f t="shared" ca="1" si="1"/>
        <v>-5.5987804741177608E-2</v>
      </c>
      <c r="G87" s="4"/>
      <c r="H87" vm="486">
        <f ca="1"/>
        <v>45910</v>
      </c>
      <c r="I87" vm="487">
        <f ca="1"/>
        <v>1.1693</v>
      </c>
    </row>
    <row r="88" spans="1:9" x14ac:dyDescent="0.2">
      <c r="A88" s="2" vm="358">
        <f ca="1"/>
        <v>45939</v>
      </c>
      <c r="B88" vm="488">
        <f ca="1"/>
        <v>122888.54</v>
      </c>
      <c r="C88" vm="489">
        <f ca="1"/>
        <v>123750.51</v>
      </c>
      <c r="D88" vm="490">
        <f ca="1"/>
        <v>119782.6</v>
      </c>
      <c r="E88" vm="491">
        <f ca="1"/>
        <v>121174.96</v>
      </c>
      <c r="F88" s="4">
        <f t="shared" ca="1" si="1"/>
        <v>-1.4325573556146044E-2</v>
      </c>
      <c r="G88" s="4"/>
      <c r="H88" vm="492">
        <f ca="1"/>
        <v>45909</v>
      </c>
      <c r="I88" vm="493">
        <f ca="1"/>
        <v>1.1706000000000001</v>
      </c>
    </row>
    <row r="89" spans="1:9" x14ac:dyDescent="0.2">
      <c r="A89" s="2" vm="364">
        <f ca="1"/>
        <v>45938</v>
      </c>
      <c r="B89" vm="494">
        <f ca="1"/>
        <v>122022.75</v>
      </c>
      <c r="C89" vm="495">
        <f ca="1"/>
        <v>124181.81</v>
      </c>
      <c r="D89" vm="496">
        <f ca="1"/>
        <v>121151.29</v>
      </c>
      <c r="E89" vm="497">
        <f ca="1"/>
        <v>122936.09</v>
      </c>
      <c r="F89" s="4">
        <f t="shared" ca="1" si="1"/>
        <v>7.5170340456357379E-3</v>
      </c>
      <c r="G89" s="4"/>
      <c r="H89" vm="498">
        <f ca="1"/>
        <v>45908</v>
      </c>
      <c r="I89" vm="499">
        <f ca="1"/>
        <v>1.1761999999999999</v>
      </c>
    </row>
    <row r="90" spans="1:9" x14ac:dyDescent="0.2">
      <c r="A90" s="2" vm="370">
        <f ca="1"/>
        <v>45937</v>
      </c>
      <c r="B90" vm="500">
        <f ca="1"/>
        <v>125268.28</v>
      </c>
      <c r="C90" vm="501">
        <f ca="1"/>
        <v>125313.38</v>
      </c>
      <c r="D90" vm="502">
        <f ca="1"/>
        <v>120683.13</v>
      </c>
      <c r="E90" vm="503">
        <f ca="1"/>
        <v>122018.87</v>
      </c>
      <c r="F90" s="4">
        <f t="shared" ca="1" si="1"/>
        <v>-2.5807400930353795E-2</v>
      </c>
      <c r="G90" s="4"/>
      <c r="H90" vm="504">
        <f ca="1"/>
        <v>45905</v>
      </c>
      <c r="I90" vm="505">
        <f ca="1"/>
        <v>1.1717</v>
      </c>
    </row>
    <row r="91" spans="1:9" x14ac:dyDescent="0.2">
      <c r="A91" s="2" vm="376">
        <f ca="1"/>
        <v>45936</v>
      </c>
      <c r="B91" vm="506">
        <f ca="1"/>
        <v>122765.16</v>
      </c>
      <c r="C91" vm="507">
        <f ca="1"/>
        <v>126223.18</v>
      </c>
      <c r="D91" vm="508">
        <f ca="1"/>
        <v>122526.42</v>
      </c>
      <c r="E91" vm="509">
        <f ca="1"/>
        <v>125251.28</v>
      </c>
      <c r="F91" s="4">
        <f t="shared" ca="1" si="1"/>
        <v>2.0154296251409028E-2</v>
      </c>
      <c r="G91" s="4"/>
      <c r="H91" vm="510">
        <f ca="1"/>
        <v>45904</v>
      </c>
      <c r="I91" vm="511">
        <f ca="1"/>
        <v>1.1649</v>
      </c>
    </row>
    <row r="92" spans="1:9" x14ac:dyDescent="0.2">
      <c r="A92" s="2" vm="512">
        <f ca="1"/>
        <v>45935</v>
      </c>
      <c r="B92" vm="513">
        <f ca="1"/>
        <v>121966.24</v>
      </c>
      <c r="C92" vm="514">
        <f ca="1"/>
        <v>125653.32</v>
      </c>
      <c r="D92" vm="515">
        <f ca="1"/>
        <v>121950.92</v>
      </c>
      <c r="E92" vm="516">
        <f ca="1"/>
        <v>122776.8</v>
      </c>
      <c r="F92" s="4">
        <f t="shared" ca="1" si="1"/>
        <v>6.5771917174525336E-3</v>
      </c>
      <c r="G92" s="4"/>
      <c r="H92" vm="517">
        <f ca="1"/>
        <v>45903</v>
      </c>
      <c r="I92" vm="518">
        <f ca="1"/>
        <v>1.1660999999999999</v>
      </c>
    </row>
    <row r="93" spans="1:9" x14ac:dyDescent="0.2">
      <c r="A93" s="2" vm="519">
        <f ca="1"/>
        <v>45934</v>
      </c>
      <c r="B93" vm="520">
        <f ca="1"/>
        <v>122490.31</v>
      </c>
      <c r="C93" vm="521">
        <f ca="1"/>
        <v>122842.7</v>
      </c>
      <c r="D93" vm="522">
        <f ca="1"/>
        <v>121577.29</v>
      </c>
      <c r="E93" vm="523">
        <f ca="1"/>
        <v>121974.55</v>
      </c>
      <c r="F93" s="4">
        <f t="shared" ca="1" si="1"/>
        <v>-4.6456027491875041E-3</v>
      </c>
      <c r="G93" s="4"/>
      <c r="H93" vm="524">
        <f ca="1"/>
        <v>45902</v>
      </c>
      <c r="I93" vm="525">
        <f ca="1"/>
        <v>1.1637999999999999</v>
      </c>
    </row>
    <row r="94" spans="1:9" x14ac:dyDescent="0.2">
      <c r="A94" s="2" vm="382">
        <f ca="1"/>
        <v>45933</v>
      </c>
      <c r="B94" vm="526">
        <f ca="1"/>
        <v>120691.59</v>
      </c>
      <c r="C94" vm="527">
        <f ca="1"/>
        <v>123939.18</v>
      </c>
      <c r="D94" vm="528">
        <f ca="1"/>
        <v>119360.9</v>
      </c>
      <c r="E94" vm="529">
        <f ca="1"/>
        <v>122543.84</v>
      </c>
      <c r="F94" s="4">
        <f t="shared" ca="1" si="1"/>
        <v>1.510751402873722E-2</v>
      </c>
      <c r="G94" s="4"/>
      <c r="H94" vm="530">
        <f ca="1"/>
        <v>45901</v>
      </c>
      <c r="I94" vm="377">
        <f ca="1"/>
        <v>1.1709000000000001</v>
      </c>
    </row>
    <row r="95" spans="1:9" x14ac:dyDescent="0.2">
      <c r="A95" s="2" vm="388">
        <f ca="1"/>
        <v>45932</v>
      </c>
      <c r="B95" vm="531">
        <f ca="1"/>
        <v>117584.63</v>
      </c>
      <c r="C95" vm="532">
        <f ca="1"/>
        <v>121065.51</v>
      </c>
      <c r="D95" vm="533">
        <f ca="1"/>
        <v>117423.93</v>
      </c>
      <c r="E95" vm="534">
        <f ca="1"/>
        <v>120720.06</v>
      </c>
      <c r="F95" s="4">
        <f t="shared" ca="1" si="1"/>
        <v>2.6638500455404779E-2</v>
      </c>
      <c r="G95" s="4"/>
      <c r="H95" vm="535">
        <f ca="1"/>
        <v>45898</v>
      </c>
      <c r="I95" vm="536">
        <f ca="1"/>
        <v>1.1684000000000001</v>
      </c>
    </row>
    <row r="96" spans="1:9" x14ac:dyDescent="0.2">
      <c r="A96" s="2" vm="395">
        <f ca="1"/>
        <v>45931</v>
      </c>
      <c r="B96" vm="537">
        <f ca="1"/>
        <v>114640.99</v>
      </c>
      <c r="C96" vm="538">
        <f ca="1"/>
        <v>118204.39</v>
      </c>
      <c r="D96" vm="539">
        <f ca="1"/>
        <v>113800.41</v>
      </c>
      <c r="E96" vm="540">
        <f ca="1"/>
        <v>117587.7</v>
      </c>
      <c r="F96" s="4">
        <f t="shared" ca="1" si="1"/>
        <v>2.5726981534983068E-2</v>
      </c>
      <c r="G96" s="4"/>
      <c r="H96" vm="541">
        <f ca="1"/>
        <v>45897</v>
      </c>
      <c r="I96" vm="542">
        <f ca="1"/>
        <v>1.1681999999999999</v>
      </c>
    </row>
    <row r="97" spans="1:9" x14ac:dyDescent="0.2">
      <c r="A97" s="2" vm="402">
        <f ca="1"/>
        <v>45930</v>
      </c>
      <c r="B97" vm="543">
        <f ca="1"/>
        <v>114356.04</v>
      </c>
      <c r="C97" vm="544">
        <f ca="1"/>
        <v>114849.43</v>
      </c>
      <c r="D97" vm="545">
        <f ca="1"/>
        <v>112771.41</v>
      </c>
      <c r="E97" vm="546">
        <f ca="1"/>
        <v>114638.39999999999</v>
      </c>
      <c r="F97" s="4">
        <f t="shared" ca="1" si="1"/>
        <v>2.4850853776974126E-3</v>
      </c>
      <c r="G97" s="4"/>
      <c r="H97" vm="547">
        <f ca="1"/>
        <v>45896</v>
      </c>
      <c r="I97" vm="548">
        <f ca="1"/>
        <v>1.1637</v>
      </c>
    </row>
    <row r="98" spans="1:9" x14ac:dyDescent="0.2">
      <c r="A98" s="2" vm="408">
        <f ca="1"/>
        <v>45929</v>
      </c>
      <c r="B98" vm="549">
        <f ca="1"/>
        <v>110858.94</v>
      </c>
      <c r="C98" vm="550">
        <f ca="1"/>
        <v>114489.1</v>
      </c>
      <c r="D98" vm="551">
        <f ca="1"/>
        <v>110691.46</v>
      </c>
      <c r="E98" vm="552">
        <f ca="1"/>
        <v>114354.22</v>
      </c>
      <c r="F98" s="4">
        <f t="shared" ca="1" si="1"/>
        <v>3.1208344011754739E-2</v>
      </c>
      <c r="G98" s="4"/>
      <c r="H98" vm="553">
        <f ca="1"/>
        <v>45895</v>
      </c>
      <c r="I98" vm="107">
        <f ca="1"/>
        <v>1.1641999999999999</v>
      </c>
    </row>
    <row r="99" spans="1:9" x14ac:dyDescent="0.2">
      <c r="A99" s="2" vm="554">
        <f ca="1"/>
        <v>45928</v>
      </c>
      <c r="B99" vm="555">
        <f ca="1"/>
        <v>109493.75999999999</v>
      </c>
      <c r="C99" vm="556">
        <f ca="1"/>
        <v>110996.28</v>
      </c>
      <c r="D99" vm="557">
        <f ca="1"/>
        <v>109272.17</v>
      </c>
      <c r="E99" vm="558">
        <f ca="1"/>
        <v>110893.42</v>
      </c>
      <c r="F99" s="4">
        <f t="shared" ca="1" si="1"/>
        <v>1.2857384506399529E-2</v>
      </c>
      <c r="G99" s="4"/>
      <c r="H99" vm="559">
        <f ca="1"/>
        <v>45894</v>
      </c>
      <c r="I99" vm="352">
        <f ca="1"/>
        <v>1.1617999999999999</v>
      </c>
    </row>
    <row r="100" spans="1:9" x14ac:dyDescent="0.2">
      <c r="A100" s="2" vm="560">
        <f ca="1"/>
        <v>45927</v>
      </c>
      <c r="B100" vm="561">
        <f ca="1"/>
        <v>109366.71</v>
      </c>
      <c r="C100" vm="562">
        <f ca="1"/>
        <v>109827.09</v>
      </c>
      <c r="D100" vm="563">
        <f ca="1"/>
        <v>109192.13</v>
      </c>
      <c r="E100" vm="564">
        <f ca="1"/>
        <v>109485.72</v>
      </c>
      <c r="F100" s="4">
        <f t="shared" ca="1" si="1"/>
        <v>8.9754280972044508E-4</v>
      </c>
      <c r="G100" s="4"/>
      <c r="H100" vm="565">
        <f ca="1"/>
        <v>45891</v>
      </c>
      <c r="I100" vm="566">
        <f ca="1"/>
        <v>1.1715</v>
      </c>
    </row>
    <row r="101" spans="1:9" x14ac:dyDescent="0.2">
      <c r="A101" s="2" vm="414">
        <f ca="1"/>
        <v>45926</v>
      </c>
      <c r="B101" vm="567">
        <f ca="1"/>
        <v>109268.72</v>
      </c>
      <c r="C101" vm="568">
        <f ca="1"/>
        <v>110379.57</v>
      </c>
      <c r="D101" vm="569">
        <f ca="1"/>
        <v>108760.53</v>
      </c>
      <c r="E101" vm="570">
        <f ca="1"/>
        <v>109387.54</v>
      </c>
      <c r="F101" s="4">
        <f t="shared" ca="1" si="1"/>
        <v>1.5105854972255334E-3</v>
      </c>
      <c r="G101" s="4"/>
      <c r="H101" vm="571">
        <f ca="1"/>
        <v>45890</v>
      </c>
      <c r="I101" vm="340">
        <f ca="1"/>
        <v>1.1605000000000001</v>
      </c>
    </row>
    <row r="102" spans="1:9" x14ac:dyDescent="0.2">
      <c r="A102" s="2" vm="420">
        <f ca="1"/>
        <v>45925</v>
      </c>
      <c r="B102" vm="572">
        <f ca="1"/>
        <v>113600.06</v>
      </c>
      <c r="C102" vm="573">
        <f ca="1"/>
        <v>113699.89</v>
      </c>
      <c r="D102" vm="574">
        <f ca="1"/>
        <v>108715.65</v>
      </c>
      <c r="E102" vm="575">
        <f ca="1"/>
        <v>109222.55</v>
      </c>
      <c r="F102" s="4">
        <f t="shared" ca="1" si="1"/>
        <v>-3.8565289813158418E-2</v>
      </c>
      <c r="G102" s="4"/>
      <c r="H102" vm="576">
        <f ca="1"/>
        <v>45889</v>
      </c>
      <c r="I102" vm="322">
        <f ca="1"/>
        <v>1.1651</v>
      </c>
    </row>
    <row r="103" spans="1:9" x14ac:dyDescent="0.2">
      <c r="A103" s="2" vm="426">
        <f ca="1"/>
        <v>45924</v>
      </c>
      <c r="B103" vm="577">
        <f ca="1"/>
        <v>112033.29</v>
      </c>
      <c r="C103" vm="578">
        <f ca="1"/>
        <v>114006.32</v>
      </c>
      <c r="D103" vm="579">
        <f ca="1"/>
        <v>111317.46</v>
      </c>
      <c r="E103" vm="580">
        <f ca="1"/>
        <v>113603.71</v>
      </c>
      <c r="F103" s="4">
        <f t="shared" ca="1" si="1"/>
        <v>1.3990378830857358E-2</v>
      </c>
      <c r="G103" s="4"/>
      <c r="H103" vm="581">
        <f ca="1"/>
        <v>45888</v>
      </c>
      <c r="I103" vm="334">
        <f ca="1"/>
        <v>1.1646000000000001</v>
      </c>
    </row>
    <row r="104" spans="1:9" x14ac:dyDescent="0.2">
      <c r="A104" s="2" vm="432">
        <f ca="1"/>
        <v>45923</v>
      </c>
      <c r="B104" vm="582">
        <f ca="1"/>
        <v>112866.71</v>
      </c>
      <c r="C104" vm="583">
        <f ca="1"/>
        <v>113355.07</v>
      </c>
      <c r="D104" vm="584">
        <f ca="1"/>
        <v>111564.16</v>
      </c>
      <c r="E104" vm="585">
        <f ca="1"/>
        <v>112036.28</v>
      </c>
      <c r="F104" s="4">
        <f t="shared" ca="1" si="1"/>
        <v>-7.3086272210257722E-3</v>
      </c>
      <c r="G104" s="4"/>
      <c r="H104" vm="586">
        <f ca="1"/>
        <v>45887</v>
      </c>
      <c r="I104" vm="587">
        <f ca="1"/>
        <v>1.1659999999999999</v>
      </c>
    </row>
    <row r="105" spans="1:9" x14ac:dyDescent="0.2">
      <c r="A105" s="2" vm="439">
        <f ca="1"/>
        <v>45922</v>
      </c>
      <c r="B105" vm="588">
        <f ca="1"/>
        <v>115450.97</v>
      </c>
      <c r="C105" vm="589">
        <f ca="1"/>
        <v>115614.34</v>
      </c>
      <c r="D105" vm="590">
        <f ca="1"/>
        <v>112061.59</v>
      </c>
      <c r="E105" vm="591">
        <f ca="1"/>
        <v>112861.14</v>
      </c>
      <c r="F105" s="4">
        <f t="shared" ca="1" si="1"/>
        <v>-2.2269268793707671E-2</v>
      </c>
      <c r="G105" s="4"/>
      <c r="H105" vm="592">
        <f ca="1"/>
        <v>45884</v>
      </c>
      <c r="I105" vm="593">
        <f ca="1"/>
        <v>1.1697</v>
      </c>
    </row>
    <row r="106" spans="1:9" x14ac:dyDescent="0.2">
      <c r="A106" s="2" vm="594">
        <f ca="1"/>
        <v>45921</v>
      </c>
      <c r="B106" vm="595">
        <f ca="1"/>
        <v>115805.38</v>
      </c>
      <c r="C106" vm="596">
        <f ca="1"/>
        <v>116041.72</v>
      </c>
      <c r="D106" vm="597">
        <f ca="1"/>
        <v>115329.81</v>
      </c>
      <c r="E106" vm="598">
        <f ca="1"/>
        <v>115431.72</v>
      </c>
      <c r="F106" s="4">
        <f t="shared" ca="1" si="1"/>
        <v>-3.6549944210517069E-3</v>
      </c>
      <c r="G106" s="4"/>
      <c r="H106" vm="599">
        <f ca="1"/>
        <v>45883</v>
      </c>
      <c r="I106" vm="334">
        <f ca="1"/>
        <v>1.1646000000000001</v>
      </c>
    </row>
    <row r="107" spans="1:9" x14ac:dyDescent="0.2">
      <c r="A107" s="2" vm="600">
        <f ca="1"/>
        <v>45920</v>
      </c>
      <c r="B107" vm="601">
        <f ca="1"/>
        <v>115457.46</v>
      </c>
      <c r="C107" vm="602">
        <f ca="1"/>
        <v>116194.87</v>
      </c>
      <c r="D107" vm="603">
        <f ca="1"/>
        <v>115383.41</v>
      </c>
      <c r="E107" vm="604">
        <f ca="1"/>
        <v>115855.17</v>
      </c>
      <c r="F107" s="4">
        <f t="shared" ca="1" si="1"/>
        <v>3.7812750338462628E-3</v>
      </c>
      <c r="G107" s="4"/>
      <c r="H107" vm="605">
        <f ca="1"/>
        <v>45882</v>
      </c>
      <c r="I107" vm="606">
        <f ca="1"/>
        <v>1.1704000000000001</v>
      </c>
    </row>
    <row r="108" spans="1:9" x14ac:dyDescent="0.2">
      <c r="A108" s="2" vm="445">
        <f ca="1"/>
        <v>45919</v>
      </c>
      <c r="B108" vm="607">
        <f ca="1"/>
        <v>117584.05</v>
      </c>
      <c r="C108" vm="607">
        <f ca="1"/>
        <v>117584.05</v>
      </c>
      <c r="D108" vm="608">
        <f ca="1"/>
        <v>115181.6</v>
      </c>
      <c r="E108" vm="609">
        <f ca="1"/>
        <v>115418.74</v>
      </c>
      <c r="F108" s="4">
        <f t="shared" ca="1" si="1"/>
        <v>-1.8501307757963575E-2</v>
      </c>
      <c r="G108" s="4"/>
      <c r="H108" vm="610">
        <f ca="1"/>
        <v>45881</v>
      </c>
      <c r="I108" vm="611">
        <f ca="1"/>
        <v>1.1673</v>
      </c>
    </row>
    <row r="109" spans="1:9" x14ac:dyDescent="0.2">
      <c r="A109" s="2" vm="451">
        <f ca="1"/>
        <v>45918</v>
      </c>
      <c r="B109" vm="612">
        <f ca="1"/>
        <v>115644.23</v>
      </c>
      <c r="C109" vm="613">
        <f ca="1"/>
        <v>117948.43</v>
      </c>
      <c r="D109" vm="614">
        <f ca="1"/>
        <v>115396.67</v>
      </c>
      <c r="E109" vm="615">
        <f ca="1"/>
        <v>117594.39</v>
      </c>
      <c r="F109" s="4">
        <f t="shared" ca="1" si="1"/>
        <v>1.6833372749035586E-2</v>
      </c>
      <c r="G109" s="4"/>
      <c r="H109" vm="616">
        <f ca="1"/>
        <v>45880</v>
      </c>
      <c r="I109" vm="617">
        <f ca="1"/>
        <v>1.1614</v>
      </c>
    </row>
    <row r="110" spans="1:9" x14ac:dyDescent="0.2">
      <c r="A110" s="2" vm="457">
        <f ca="1"/>
        <v>45917</v>
      </c>
      <c r="B110" vm="618">
        <f ca="1"/>
        <v>116896.2</v>
      </c>
      <c r="C110" vm="619">
        <f ca="1"/>
        <v>117314.17</v>
      </c>
      <c r="D110" vm="620">
        <f ca="1"/>
        <v>114805.81</v>
      </c>
      <c r="E110" vm="621">
        <f ca="1"/>
        <v>115647.65</v>
      </c>
      <c r="F110" s="4">
        <f t="shared" ca="1" si="1"/>
        <v>-1.0806252481588218E-2</v>
      </c>
      <c r="G110" s="4"/>
      <c r="H110" vm="622">
        <f ca="1"/>
        <v>45877</v>
      </c>
      <c r="I110" vm="623">
        <f ca="1"/>
        <v>1.1638999999999999</v>
      </c>
    </row>
    <row r="111" spans="1:9" x14ac:dyDescent="0.2">
      <c r="A111" s="2" vm="463">
        <f ca="1"/>
        <v>45916</v>
      </c>
      <c r="B111" vm="624">
        <f ca="1"/>
        <v>115434.92</v>
      </c>
      <c r="C111" vm="625">
        <f ca="1"/>
        <v>116940.44</v>
      </c>
      <c r="D111" vm="626">
        <f ca="1"/>
        <v>114813.72</v>
      </c>
      <c r="E111" vm="627">
        <f ca="1"/>
        <v>116911.02</v>
      </c>
      <c r="F111" s="4">
        <f t="shared" ca="1" si="1"/>
        <v>1.2980612477514468E-2</v>
      </c>
      <c r="G111" s="4"/>
      <c r="H111" vm="628">
        <f ca="1"/>
        <v>45876</v>
      </c>
      <c r="I111" vm="421">
        <f ca="1"/>
        <v>1.1665000000000001</v>
      </c>
    </row>
    <row r="112" spans="1:9" x14ac:dyDescent="0.2">
      <c r="A112" s="2" vm="469">
        <f ca="1"/>
        <v>45915</v>
      </c>
      <c r="B112" vm="629">
        <f ca="1"/>
        <v>115854.73</v>
      </c>
      <c r="C112" vm="630">
        <f ca="1"/>
        <v>116783.12</v>
      </c>
      <c r="D112" vm="631">
        <f ca="1"/>
        <v>114484.81</v>
      </c>
      <c r="E112" vm="632">
        <f ca="1"/>
        <v>115412.89</v>
      </c>
      <c r="F112" s="4">
        <f t="shared" ca="1" si="1"/>
        <v>-3.8128817121940248E-3</v>
      </c>
      <c r="G112" s="4"/>
      <c r="H112" vm="633">
        <f ca="1"/>
        <v>45875</v>
      </c>
      <c r="I112" vm="634">
        <f ca="1"/>
        <v>1.1658999999999999</v>
      </c>
    </row>
    <row r="113" spans="1:9" x14ac:dyDescent="0.2">
      <c r="A113" s="2" vm="635">
        <f ca="1"/>
        <v>45914</v>
      </c>
      <c r="B113" vm="636">
        <f ca="1"/>
        <v>115944.26</v>
      </c>
      <c r="C113" vm="637">
        <f ca="1"/>
        <v>116180.65</v>
      </c>
      <c r="D113" vm="638">
        <f ca="1"/>
        <v>115206.5</v>
      </c>
      <c r="E113" vm="639">
        <f ca="1"/>
        <v>115854.63</v>
      </c>
      <c r="F113" s="4">
        <f t="shared" ca="1" si="1"/>
        <v>-8.2388847070153965E-4</v>
      </c>
      <c r="G113" s="4"/>
      <c r="H113" vm="640">
        <f ca="1"/>
        <v>45874</v>
      </c>
      <c r="I113" vm="641">
        <f ca="1"/>
        <v>1.1574</v>
      </c>
    </row>
    <row r="114" spans="1:9" x14ac:dyDescent="0.2">
      <c r="A114" s="2" vm="642">
        <f ca="1"/>
        <v>45913</v>
      </c>
      <c r="B114" vm="643">
        <f ca="1"/>
        <v>116223.34</v>
      </c>
      <c r="C114" vm="644">
        <f ca="1"/>
        <v>116377.86</v>
      </c>
      <c r="D114" vm="645">
        <f ca="1"/>
        <v>115170.21</v>
      </c>
      <c r="E114" vm="646">
        <f ca="1"/>
        <v>115950.16</v>
      </c>
      <c r="F114" s="4">
        <f t="shared" ca="1" si="1"/>
        <v>-2.4490937871204203E-3</v>
      </c>
      <c r="G114" s="4"/>
      <c r="H114" vm="647">
        <f ca="1"/>
        <v>45873</v>
      </c>
      <c r="I114" vm="648">
        <f ca="1"/>
        <v>1.157</v>
      </c>
    </row>
    <row r="115" spans="1:9" x14ac:dyDescent="0.2">
      <c r="A115" s="2" vm="475">
        <f ca="1"/>
        <v>45912</v>
      </c>
      <c r="B115" vm="649">
        <f ca="1"/>
        <v>114414.24</v>
      </c>
      <c r="C115" vm="650">
        <f ca="1"/>
        <v>116758.47</v>
      </c>
      <c r="D115" vm="651">
        <f ca="1"/>
        <v>114408.58</v>
      </c>
      <c r="E115" vm="652">
        <f ca="1"/>
        <v>116234.83</v>
      </c>
      <c r="F115" s="4">
        <f t="shared" ca="1" si="1"/>
        <v>1.5813362385163125E-2</v>
      </c>
      <c r="G115" s="4"/>
      <c r="H115" vm="653">
        <f ca="1"/>
        <v>45870</v>
      </c>
      <c r="I115" vm="654">
        <f ca="1"/>
        <v>1.1584000000000001</v>
      </c>
    </row>
    <row r="116" spans="1:9" x14ac:dyDescent="0.2">
      <c r="A116" s="2" vm="481">
        <f ca="1"/>
        <v>45911</v>
      </c>
      <c r="B116" vm="655">
        <f ca="1"/>
        <v>113609.13</v>
      </c>
      <c r="C116" vm="656">
        <f ca="1"/>
        <v>114707.81</v>
      </c>
      <c r="D116" vm="657">
        <f ca="1"/>
        <v>113470.19</v>
      </c>
      <c r="E116" vm="658">
        <f ca="1"/>
        <v>114425.38</v>
      </c>
      <c r="F116" s="4">
        <f t="shared" ca="1" si="1"/>
        <v>7.0521136846949288E-3</v>
      </c>
      <c r="G116" s="4"/>
      <c r="H116" vm="659">
        <f ca="1"/>
        <v>45869</v>
      </c>
      <c r="I116" vm="660">
        <f ca="1"/>
        <v>1.1415</v>
      </c>
    </row>
    <row r="117" spans="1:9" x14ac:dyDescent="0.2">
      <c r="A117" s="2" vm="486">
        <f ca="1"/>
        <v>45910</v>
      </c>
      <c r="B117" vm="661">
        <f ca="1"/>
        <v>111512.9</v>
      </c>
      <c r="C117" vm="662">
        <f ca="1"/>
        <v>114307.05</v>
      </c>
      <c r="D117" vm="663">
        <f ca="1"/>
        <v>110975.94</v>
      </c>
      <c r="E117" vm="664">
        <f ca="1"/>
        <v>113624.09</v>
      </c>
      <c r="F117" s="4">
        <f t="shared" ca="1" si="1"/>
        <v>1.905561823651071E-2</v>
      </c>
      <c r="G117" s="4"/>
      <c r="H117" vm="665">
        <f ca="1"/>
        <v>45868</v>
      </c>
      <c r="I117" vm="666">
        <f ca="1"/>
        <v>1.1404000000000001</v>
      </c>
    </row>
    <row r="118" spans="1:9" x14ac:dyDescent="0.2">
      <c r="A118" s="2" vm="492">
        <f ca="1"/>
        <v>45909</v>
      </c>
      <c r="B118" vm="667">
        <f ca="1"/>
        <v>111986.61</v>
      </c>
      <c r="C118" vm="668">
        <f ca="1"/>
        <v>113253.87</v>
      </c>
      <c r="D118" vm="669">
        <f ca="1"/>
        <v>110794</v>
      </c>
      <c r="E118" vm="670">
        <f ca="1"/>
        <v>111499.4</v>
      </c>
      <c r="F118" s="4">
        <f t="shared" ca="1" si="1"/>
        <v>-4.3536322759036026E-3</v>
      </c>
      <c r="G118" s="4"/>
      <c r="H118" vm="671">
        <f ca="1"/>
        <v>45867</v>
      </c>
      <c r="I118" vm="672">
        <f ca="1"/>
        <v>1.1545000000000001</v>
      </c>
    </row>
    <row r="119" spans="1:9" x14ac:dyDescent="0.2">
      <c r="A119" s="2" vm="498">
        <f ca="1"/>
        <v>45908</v>
      </c>
      <c r="B119" vm="673">
        <f ca="1"/>
        <v>111350.74</v>
      </c>
      <c r="C119" vm="674">
        <f ca="1"/>
        <v>112897.91</v>
      </c>
      <c r="D119" vm="675">
        <f ca="1"/>
        <v>110664.56</v>
      </c>
      <c r="E119" vm="676">
        <f ca="1"/>
        <v>111986.95</v>
      </c>
      <c r="F119" s="4">
        <f t="shared" ca="1" si="1"/>
        <v>5.7053487757029462E-3</v>
      </c>
      <c r="G119" s="4"/>
      <c r="H119" vm="677">
        <f ca="1"/>
        <v>45866</v>
      </c>
      <c r="I119" vm="678">
        <f ca="1"/>
        <v>1.1588000000000001</v>
      </c>
    </row>
    <row r="120" spans="1:9" x14ac:dyDescent="0.2">
      <c r="A120" s="2" vm="679">
        <f ca="1"/>
        <v>45907</v>
      </c>
      <c r="B120" vm="680">
        <f ca="1"/>
        <v>110188.85</v>
      </c>
      <c r="C120" vm="681">
        <f ca="1"/>
        <v>111382.35</v>
      </c>
      <c r="D120" vm="682">
        <f ca="1"/>
        <v>110021.54</v>
      </c>
      <c r="E120" vm="683">
        <f ca="1"/>
        <v>111351.65</v>
      </c>
      <c r="F120" s="4">
        <f t="shared" ca="1" si="1"/>
        <v>1.0682029168931247E-2</v>
      </c>
      <c r="G120" s="4"/>
      <c r="H120" vm="684">
        <f ca="1"/>
        <v>45863</v>
      </c>
      <c r="I120" vm="75">
        <f ca="1"/>
        <v>1.1739999999999999</v>
      </c>
    </row>
    <row r="121" spans="1:9" x14ac:dyDescent="0.2">
      <c r="A121" s="2" vm="685">
        <f ca="1"/>
        <v>45906</v>
      </c>
      <c r="B121" vm="686">
        <f ca="1"/>
        <v>111679.7</v>
      </c>
      <c r="C121" vm="687">
        <f ca="1"/>
        <v>111715.3</v>
      </c>
      <c r="D121" vm="688">
        <f ca="1"/>
        <v>110021.56</v>
      </c>
      <c r="E121" vm="689">
        <f ca="1"/>
        <v>110174.76</v>
      </c>
      <c r="F121" s="4">
        <f t="shared" ca="1" si="1"/>
        <v>-1.3292614119775434E-2</v>
      </c>
      <c r="G121" s="4"/>
      <c r="H121" vm="690">
        <f ca="1"/>
        <v>45862</v>
      </c>
      <c r="I121" vm="691">
        <f ca="1"/>
        <v>1.1754</v>
      </c>
    </row>
    <row r="122" spans="1:9" x14ac:dyDescent="0.2">
      <c r="A122" s="2" vm="504">
        <f ca="1"/>
        <v>45905</v>
      </c>
      <c r="B122" vm="692">
        <f ca="1"/>
        <v>110429.41</v>
      </c>
      <c r="C122" vm="693">
        <f ca="1"/>
        <v>113378.69</v>
      </c>
      <c r="D122" vm="694">
        <f ca="1"/>
        <v>110266.31</v>
      </c>
      <c r="E122" vm="695">
        <f ca="1"/>
        <v>111659</v>
      </c>
      <c r="F122" s="4">
        <f t="shared" ca="1" si="1"/>
        <v>1.1279499199328665E-2</v>
      </c>
      <c r="G122" s="4"/>
      <c r="H122" vm="696">
        <f ca="1"/>
        <v>45861</v>
      </c>
      <c r="I122" vm="697">
        <f ca="1"/>
        <v>1.177</v>
      </c>
    </row>
    <row r="123" spans="1:9" x14ac:dyDescent="0.2">
      <c r="A123" s="2" vm="510">
        <f ca="1"/>
        <v>45904</v>
      </c>
      <c r="B123" vm="698">
        <f ca="1"/>
        <v>112271.79</v>
      </c>
      <c r="C123" vm="699">
        <f ca="1"/>
        <v>112314.52</v>
      </c>
      <c r="D123" vm="700">
        <f ca="1"/>
        <v>109386.52</v>
      </c>
      <c r="E123" vm="701">
        <f ca="1"/>
        <v>110413.59</v>
      </c>
      <c r="F123" s="4">
        <f t="shared" ca="1" si="1"/>
        <v>-1.650991105052944E-2</v>
      </c>
      <c r="G123" s="4"/>
      <c r="H123" vm="702">
        <f ca="1"/>
        <v>45860</v>
      </c>
      <c r="I123" vm="703">
        <f ca="1"/>
        <v>1.1753</v>
      </c>
    </row>
    <row r="124" spans="1:9" x14ac:dyDescent="0.2">
      <c r="A124" s="2" vm="517">
        <f ca="1"/>
        <v>45903</v>
      </c>
      <c r="B124" vm="704">
        <f ca="1"/>
        <v>111427.21</v>
      </c>
      <c r="C124" vm="705">
        <f ca="1"/>
        <v>112596.97</v>
      </c>
      <c r="D124" vm="706">
        <f ca="1"/>
        <v>110588.67</v>
      </c>
      <c r="E124" vm="707">
        <f ca="1"/>
        <v>112267.11</v>
      </c>
      <c r="F124" s="4">
        <f t="shared" ca="1" si="1"/>
        <v>7.6221166317396415E-3</v>
      </c>
      <c r="G124" s="4"/>
      <c r="H124" vm="708">
        <f ca="1"/>
        <v>45859</v>
      </c>
      <c r="I124" vm="709">
        <f ca="1"/>
        <v>1.1695</v>
      </c>
    </row>
    <row r="125" spans="1:9" x14ac:dyDescent="0.2">
      <c r="A125" s="2" vm="524">
        <f ca="1"/>
        <v>45902</v>
      </c>
      <c r="B125" vm="710">
        <f ca="1"/>
        <v>108848.71</v>
      </c>
      <c r="C125" vm="711">
        <f ca="1"/>
        <v>111766.01</v>
      </c>
      <c r="D125" vm="712">
        <f ca="1"/>
        <v>107489.57</v>
      </c>
      <c r="E125" vm="713">
        <f ca="1"/>
        <v>111417.87</v>
      </c>
      <c r="F125" s="4">
        <f t="shared" ca="1" si="1"/>
        <v>2.3446954773747464E-2</v>
      </c>
      <c r="G125" s="4"/>
      <c r="H125" vm="714">
        <f ca="1"/>
        <v>45856</v>
      </c>
      <c r="I125" vm="93">
        <f ca="1"/>
        <v>1.1625000000000001</v>
      </c>
    </row>
    <row r="126" spans="1:9" x14ac:dyDescent="0.2">
      <c r="A126" s="2" vm="530">
        <f ca="1"/>
        <v>45901</v>
      </c>
      <c r="B126" vm="715">
        <f ca="1"/>
        <v>109163.09</v>
      </c>
      <c r="C126" vm="716">
        <f ca="1"/>
        <v>109903.64</v>
      </c>
      <c r="D126" vm="717">
        <f ca="1"/>
        <v>107304.15</v>
      </c>
      <c r="E126" vm="718">
        <f ca="1"/>
        <v>108865.31</v>
      </c>
      <c r="F126" s="4">
        <f t="shared" ca="1" si="1"/>
        <v>-2.2993833821758356E-3</v>
      </c>
      <c r="G126" s="4"/>
      <c r="H126" vm="719">
        <f ca="1"/>
        <v>45855</v>
      </c>
      <c r="I126" vm="137">
        <f ca="1"/>
        <v>1.1595</v>
      </c>
    </row>
    <row r="127" spans="1:9" x14ac:dyDescent="0.2">
      <c r="A127" s="2" vm="720">
        <f ca="1"/>
        <v>45900</v>
      </c>
      <c r="B127" vm="721">
        <f ca="1"/>
        <v>108679.72</v>
      </c>
      <c r="C127" vm="722">
        <f ca="1"/>
        <v>109524.96</v>
      </c>
      <c r="D127" vm="723">
        <f ca="1"/>
        <v>108215.2</v>
      </c>
      <c r="E127" vm="724">
        <f ca="1"/>
        <v>109116.21</v>
      </c>
      <c r="F127" s="4">
        <f t="shared" ca="1" si="1"/>
        <v>3.8287941437361492E-3</v>
      </c>
      <c r="G127" s="4"/>
      <c r="H127" vm="725">
        <f ca="1"/>
        <v>45854</v>
      </c>
      <c r="I127" vm="726">
        <f ca="1"/>
        <v>1.1634</v>
      </c>
    </row>
    <row r="128" spans="1:9" x14ac:dyDescent="0.2">
      <c r="A128" s="2" vm="727">
        <f ca="1"/>
        <v>45899</v>
      </c>
      <c r="B128" vm="728">
        <f ca="1"/>
        <v>107827.82</v>
      </c>
      <c r="C128" vm="729">
        <f ca="1"/>
        <v>108961.86</v>
      </c>
      <c r="D128" vm="730">
        <f ca="1"/>
        <v>107450.05</v>
      </c>
      <c r="E128" vm="731">
        <f ca="1"/>
        <v>108700.02</v>
      </c>
      <c r="F128" s="4">
        <f t="shared" ca="1" si="1"/>
        <v>8.2128053947445167E-3</v>
      </c>
      <c r="G128" s="4"/>
      <c r="H128" vm="732">
        <f ca="1"/>
        <v>45853</v>
      </c>
      <c r="I128" vm="274">
        <f ca="1"/>
        <v>1.1598999999999999</v>
      </c>
    </row>
    <row r="129" spans="1:9" x14ac:dyDescent="0.2">
      <c r="A129" s="2" vm="535">
        <f ca="1"/>
        <v>45898</v>
      </c>
      <c r="B129" vm="733">
        <f ca="1"/>
        <v>111962.68</v>
      </c>
      <c r="C129" vm="734">
        <f ca="1"/>
        <v>112644.94</v>
      </c>
      <c r="D129" vm="735">
        <f ca="1"/>
        <v>107621.49</v>
      </c>
      <c r="E129" vm="736">
        <f ca="1"/>
        <v>107814.56</v>
      </c>
      <c r="F129" s="4">
        <f t="shared" ca="1" si="1"/>
        <v>-3.7100302111403943E-2</v>
      </c>
      <c r="G129" s="4"/>
      <c r="H129" vm="737">
        <f ca="1"/>
        <v>45852</v>
      </c>
      <c r="I129" vm="738">
        <f ca="1"/>
        <v>1.1662999999999999</v>
      </c>
    </row>
    <row r="130" spans="1:9" x14ac:dyDescent="0.2">
      <c r="A130" s="2" vm="541">
        <f ca="1"/>
        <v>45897</v>
      </c>
      <c r="B130" vm="739">
        <f ca="1"/>
        <v>112461.98</v>
      </c>
      <c r="C130" vm="740">
        <f ca="1"/>
        <v>113481.24</v>
      </c>
      <c r="D130" vm="741">
        <f ca="1"/>
        <v>110922.7</v>
      </c>
      <c r="E130" vm="742">
        <f ca="1"/>
        <v>111968.63</v>
      </c>
      <c r="F130" s="4">
        <f t="shared" ca="1" si="1"/>
        <v>-4.1432133757556425E-3</v>
      </c>
      <c r="G130" s="4"/>
      <c r="H130" vm="743">
        <f ca="1"/>
        <v>45849</v>
      </c>
      <c r="I130" vm="744">
        <f ca="1"/>
        <v>1.1689000000000001</v>
      </c>
    </row>
    <row r="131" spans="1:9" x14ac:dyDescent="0.2">
      <c r="A131" s="2" vm="547">
        <f ca="1"/>
        <v>45896</v>
      </c>
      <c r="B131" vm="745">
        <f ca="1"/>
        <v>111391.54</v>
      </c>
      <c r="C131" vm="746">
        <f ca="1"/>
        <v>112695.62</v>
      </c>
      <c r="D131" vm="747">
        <f ca="1"/>
        <v>110433.59</v>
      </c>
      <c r="E131" vm="748">
        <f ca="1"/>
        <v>112434.47</v>
      </c>
      <c r="F131" s="4">
        <f t="shared" ca="1" si="1"/>
        <v>9.4068706785111981E-3</v>
      </c>
      <c r="G131" s="4"/>
      <c r="H131" vm="749">
        <f ca="1"/>
        <v>45848</v>
      </c>
      <c r="I131" vm="750">
        <f ca="1"/>
        <v>1.17</v>
      </c>
    </row>
    <row r="132" spans="1:9" x14ac:dyDescent="0.2">
      <c r="A132" s="2" vm="553">
        <f ca="1"/>
        <v>45895</v>
      </c>
      <c r="B132" vm="751">
        <f ca="1"/>
        <v>109577.29</v>
      </c>
      <c r="C132" vm="752">
        <f ca="1"/>
        <v>111436.14</v>
      </c>
      <c r="D132" vm="753">
        <f ca="1"/>
        <v>108829.09</v>
      </c>
      <c r="E132" vm="754">
        <f ca="1"/>
        <v>111386.67</v>
      </c>
      <c r="F132" s="4">
        <f t="shared" ca="1" si="1"/>
        <v>1.568259348475624E-2</v>
      </c>
      <c r="G132" s="4"/>
      <c r="H132" vm="755">
        <f ca="1"/>
        <v>45847</v>
      </c>
      <c r="I132" vm="756">
        <f ca="1"/>
        <v>1.1718999999999999</v>
      </c>
    </row>
    <row r="133" spans="1:9" x14ac:dyDescent="0.2">
      <c r="A133" s="2" vm="559">
        <f ca="1"/>
        <v>45894</v>
      </c>
      <c r="B133" vm="757">
        <f ca="1"/>
        <v>112780.85</v>
      </c>
      <c r="C133" vm="758">
        <f ca="1"/>
        <v>113718.75</v>
      </c>
      <c r="D133" vm="759">
        <f ca="1"/>
        <v>109453.22</v>
      </c>
      <c r="E133" vm="760">
        <f ca="1"/>
        <v>109666.81</v>
      </c>
      <c r="F133" s="4">
        <f t="shared" ca="1" si="1"/>
        <v>-2.7385133077929169E-2</v>
      </c>
      <c r="G133" s="4"/>
      <c r="H133" vm="761">
        <f ca="1"/>
        <v>45846</v>
      </c>
      <c r="I133" vm="762">
        <f ca="1"/>
        <v>1.1724000000000001</v>
      </c>
    </row>
    <row r="134" spans="1:9" x14ac:dyDescent="0.2">
      <c r="A134" s="2" vm="763">
        <f ca="1"/>
        <v>45893</v>
      </c>
      <c r="B134" vm="764">
        <f ca="1"/>
        <v>115308.98</v>
      </c>
      <c r="C134" vm="765">
        <f ca="1"/>
        <v>115634.88</v>
      </c>
      <c r="D134" vm="766">
        <f ca="1"/>
        <v>111241.99</v>
      </c>
      <c r="E134" vm="767">
        <f ca="1"/>
        <v>112754.61</v>
      </c>
      <c r="F134" s="4">
        <f t="shared" ca="1" si="1"/>
        <v>-2.2136790488429415E-2</v>
      </c>
      <c r="G134" s="4"/>
      <c r="H134" vm="768">
        <f ca="1"/>
        <v>45845</v>
      </c>
      <c r="I134" vm="769">
        <f ca="1"/>
        <v>1.1707000000000001</v>
      </c>
    </row>
    <row r="135" spans="1:9" x14ac:dyDescent="0.2">
      <c r="A135" s="2" vm="770">
        <f ca="1"/>
        <v>45892</v>
      </c>
      <c r="B135" vm="771">
        <f ca="1"/>
        <v>117047.63</v>
      </c>
      <c r="C135" vm="772">
        <f ca="1"/>
        <v>117178.9</v>
      </c>
      <c r="D135" vm="773">
        <f ca="1"/>
        <v>114573.92</v>
      </c>
      <c r="E135" vm="774">
        <f ca="1"/>
        <v>115307.14</v>
      </c>
      <c r="F135" s="4">
        <f t="shared" ca="1" si="1"/>
        <v>-1.4502833791280518E-2</v>
      </c>
      <c r="G135" s="4"/>
      <c r="H135" vm="775">
        <f ca="1"/>
        <v>45842</v>
      </c>
      <c r="I135" vm="25">
        <f ca="1"/>
        <v>1.1778</v>
      </c>
    </row>
    <row r="136" spans="1:9" x14ac:dyDescent="0.2">
      <c r="A136" s="2" vm="565">
        <f ca="1"/>
        <v>45891</v>
      </c>
      <c r="B136" vm="776">
        <f ca="1"/>
        <v>112410.89</v>
      </c>
      <c r="C136" vm="777">
        <f ca="1"/>
        <v>117416.17</v>
      </c>
      <c r="D136" vm="778">
        <f ca="1"/>
        <v>111666.07</v>
      </c>
      <c r="E136" vm="779">
        <f ca="1"/>
        <v>117004.03</v>
      </c>
      <c r="F136" s="4">
        <f t="shared" ca="1" si="1"/>
        <v>4.0691689251270292E-2</v>
      </c>
      <c r="G136" s="4"/>
      <c r="H136" vm="780">
        <f ca="1"/>
        <v>45841</v>
      </c>
      <c r="I136" vm="781">
        <f ca="1"/>
        <v>1.1756</v>
      </c>
    </row>
    <row r="137" spans="1:9" x14ac:dyDescent="0.2">
      <c r="A137" s="2" vm="571">
        <f ca="1"/>
        <v>45890</v>
      </c>
      <c r="B137" vm="782">
        <f ca="1"/>
        <v>114410.58</v>
      </c>
      <c r="C137" vm="783">
        <f ca="1"/>
        <v>114803.67</v>
      </c>
      <c r="D137" vm="784">
        <f ca="1"/>
        <v>112008.02</v>
      </c>
      <c r="E137" vm="785">
        <f ca="1"/>
        <v>112429.1</v>
      </c>
      <c r="F137" s="4">
        <f t="shared" ca="1" si="1"/>
        <v>-1.7326242432792044E-2</v>
      </c>
      <c r="G137" s="4"/>
      <c r="H137" vm="786">
        <f ca="1"/>
        <v>45840</v>
      </c>
      <c r="I137" vm="787">
        <f ca="1"/>
        <v>1.1798</v>
      </c>
    </row>
    <row r="138" spans="1:9" x14ac:dyDescent="0.2">
      <c r="A138" s="2" vm="576">
        <f ca="1"/>
        <v>45889</v>
      </c>
      <c r="B138" vm="788">
        <f ca="1"/>
        <v>113575.14</v>
      </c>
      <c r="C138" vm="789">
        <f ca="1"/>
        <v>114446.27</v>
      </c>
      <c r="D138" vm="790">
        <f ca="1"/>
        <v>112386.93</v>
      </c>
      <c r="E138" vm="791">
        <f ca="1"/>
        <v>114411.42</v>
      </c>
      <c r="F138" s="4">
        <f t="shared" ca="1" si="1"/>
        <v>7.3592397803084429E-3</v>
      </c>
      <c r="G138" s="4"/>
      <c r="H138" vm="792">
        <f ca="1"/>
        <v>45839</v>
      </c>
      <c r="I138" vm="793">
        <f ca="1"/>
        <v>1.1805000000000001</v>
      </c>
    </row>
    <row r="139" spans="1:9" x14ac:dyDescent="0.2">
      <c r="A139" s="2" vm="581">
        <f ca="1"/>
        <v>45888</v>
      </c>
      <c r="B139" vm="794">
        <f ca="1"/>
        <v>116506.43</v>
      </c>
      <c r="C139" vm="795">
        <f ca="1"/>
        <v>117041.04</v>
      </c>
      <c r="D139" vm="796">
        <f ca="1"/>
        <v>112762.86</v>
      </c>
      <c r="E139" vm="797">
        <f ca="1"/>
        <v>113575.59</v>
      </c>
      <c r="F139" s="4">
        <f t="shared" ref="F139:F202" ca="1" si="2">((E139-E140)/E140)</f>
        <v>-2.4852460063590594E-2</v>
      </c>
      <c r="G139" s="4"/>
      <c r="H139" vm="798">
        <f ca="1"/>
        <v>45838</v>
      </c>
      <c r="I139" vm="452">
        <f ca="1"/>
        <v>1.1786000000000001</v>
      </c>
    </row>
    <row r="140" spans="1:9" x14ac:dyDescent="0.2">
      <c r="A140" s="2" vm="586">
        <f ca="1"/>
        <v>45887</v>
      </c>
      <c r="B140" vm="799">
        <f ca="1"/>
        <v>117722.3</v>
      </c>
      <c r="C140" vm="800">
        <f ca="1"/>
        <v>118051.11</v>
      </c>
      <c r="D140" vm="801">
        <f ca="1"/>
        <v>114755.65</v>
      </c>
      <c r="E140" vm="802">
        <f ca="1"/>
        <v>116470.16</v>
      </c>
      <c r="F140" s="4">
        <f t="shared" ca="1" si="2"/>
        <v>-1.0584782921902991E-2</v>
      </c>
      <c r="G140" s="4"/>
      <c r="H140" vm="803">
        <f ca="1"/>
        <v>45835</v>
      </c>
      <c r="I140" vm="756">
        <f ca="1"/>
        <v>1.1718999999999999</v>
      </c>
    </row>
    <row r="141" spans="1:9" x14ac:dyDescent="0.2">
      <c r="A141" s="2" vm="804">
        <f ca="1"/>
        <v>45886</v>
      </c>
      <c r="B141" vm="805">
        <f ca="1"/>
        <v>117745.41</v>
      </c>
      <c r="C141" vm="806">
        <f ca="1"/>
        <v>118609.78</v>
      </c>
      <c r="D141" vm="807">
        <f ca="1"/>
        <v>117312.68</v>
      </c>
      <c r="E141" vm="808">
        <f ca="1"/>
        <v>117716.16</v>
      </c>
      <c r="F141" s="4">
        <f t="shared" ca="1" si="2"/>
        <v>-2.4841732684102079E-4</v>
      </c>
      <c r="G141" s="4"/>
      <c r="H141" vm="809">
        <f ca="1"/>
        <v>45834</v>
      </c>
      <c r="I141" vm="810">
        <f ca="1"/>
        <v>1.1698999999999999</v>
      </c>
    </row>
    <row r="142" spans="1:9" x14ac:dyDescent="0.2">
      <c r="A142" s="2" vm="811">
        <f ca="1"/>
        <v>45885</v>
      </c>
      <c r="B142" vm="812">
        <f ca="1"/>
        <v>117393.35</v>
      </c>
      <c r="C142" vm="813">
        <f ca="1"/>
        <v>117993.26</v>
      </c>
      <c r="D142" vm="814">
        <f ca="1"/>
        <v>117137.04</v>
      </c>
      <c r="E142" vm="805">
        <f ca="1"/>
        <v>117745.41</v>
      </c>
      <c r="F142" s="4">
        <f t="shared" ca="1" si="2"/>
        <v>3.0751094438070427E-3</v>
      </c>
      <c r="G142" s="4"/>
      <c r="H142" vm="815">
        <f ca="1"/>
        <v>45833</v>
      </c>
      <c r="I142" vm="634">
        <f ca="1"/>
        <v>1.1658999999999999</v>
      </c>
    </row>
    <row r="143" spans="1:9" x14ac:dyDescent="0.2">
      <c r="A143" s="2" vm="592">
        <f ca="1"/>
        <v>45884</v>
      </c>
      <c r="B143" vm="816">
        <f ca="1"/>
        <v>117951.88</v>
      </c>
      <c r="C143" vm="817">
        <f ca="1"/>
        <v>119319.13</v>
      </c>
      <c r="D143" vm="818">
        <f ca="1"/>
        <v>116892.93</v>
      </c>
      <c r="E143" vm="819">
        <f ca="1"/>
        <v>117384.44</v>
      </c>
      <c r="F143" s="4">
        <f t="shared" ca="1" si="2"/>
        <v>-4.7756751889735452E-3</v>
      </c>
      <c r="G143" s="4"/>
      <c r="H143" vm="820">
        <f ca="1"/>
        <v>45832</v>
      </c>
      <c r="I143" vm="821">
        <f ca="1"/>
        <v>1.1608000000000001</v>
      </c>
    </row>
    <row r="144" spans="1:9" x14ac:dyDescent="0.2">
      <c r="A144" s="2" vm="599">
        <f ca="1"/>
        <v>45883</v>
      </c>
      <c r="B144" vm="822">
        <f ca="1"/>
        <v>122957.75</v>
      </c>
      <c r="C144" vm="823">
        <f ca="1"/>
        <v>124480.82</v>
      </c>
      <c r="D144" vm="824">
        <f ca="1"/>
        <v>117291.28</v>
      </c>
      <c r="E144" vm="825">
        <f ca="1"/>
        <v>117947.72</v>
      </c>
      <c r="F144" s="4">
        <f t="shared" ca="1" si="2"/>
        <v>-4.0565855018767263E-2</v>
      </c>
      <c r="G144" s="4"/>
      <c r="H144" vm="826">
        <f ca="1"/>
        <v>45831</v>
      </c>
      <c r="I144" vm="827">
        <f ca="1"/>
        <v>1.1576</v>
      </c>
    </row>
    <row r="145" spans="1:9" x14ac:dyDescent="0.2">
      <c r="A145" s="2" vm="605">
        <f ca="1"/>
        <v>45882</v>
      </c>
      <c r="B145" vm="828">
        <f ca="1"/>
        <v>120198.46</v>
      </c>
      <c r="C145" vm="829">
        <f ca="1"/>
        <v>123008.91</v>
      </c>
      <c r="D145" vm="830">
        <f ca="1"/>
        <v>118961.01</v>
      </c>
      <c r="E145" vm="831">
        <f ca="1"/>
        <v>122934.67</v>
      </c>
      <c r="F145" s="4">
        <f t="shared" ca="1" si="2"/>
        <v>2.290434888824433E-2</v>
      </c>
      <c r="G145" s="4"/>
      <c r="H145" vm="832">
        <f ca="1"/>
        <v>45828</v>
      </c>
      <c r="I145" vm="833">
        <f ca="1"/>
        <v>1.1521999999999999</v>
      </c>
    </row>
    <row r="146" spans="1:9" x14ac:dyDescent="0.2">
      <c r="A146" s="2" vm="610">
        <f ca="1"/>
        <v>45881</v>
      </c>
      <c r="B146" vm="834">
        <f ca="1"/>
        <v>118861.09</v>
      </c>
      <c r="C146" vm="835">
        <f ca="1"/>
        <v>120296.3</v>
      </c>
      <c r="D146" vm="836">
        <f ca="1"/>
        <v>118231.13</v>
      </c>
      <c r="E146" vm="837">
        <f ca="1"/>
        <v>120181.98</v>
      </c>
      <c r="F146" s="4">
        <f t="shared" ca="1" si="2"/>
        <v>1.1019493477315477E-2</v>
      </c>
      <c r="G146" s="4"/>
      <c r="H146" vm="838">
        <f ca="1"/>
        <v>45827</v>
      </c>
      <c r="I146" vm="839">
        <f ca="1"/>
        <v>1.1494</v>
      </c>
    </row>
    <row r="147" spans="1:9" x14ac:dyDescent="0.2">
      <c r="A147" s="2" vm="616">
        <f ca="1"/>
        <v>45880</v>
      </c>
      <c r="B147" vm="840">
        <f ca="1"/>
        <v>118356.63</v>
      </c>
      <c r="C147" vm="841">
        <f ca="1"/>
        <v>122308.25</v>
      </c>
      <c r="D147" vm="842">
        <f ca="1"/>
        <v>118136.92</v>
      </c>
      <c r="E147" vm="843">
        <f ca="1"/>
        <v>118872.07</v>
      </c>
      <c r="F147" s="4">
        <f t="shared" ca="1" si="2"/>
        <v>4.1343903239858945E-3</v>
      </c>
      <c r="G147" s="4"/>
      <c r="H147" vm="844">
        <f ca="1"/>
        <v>45826</v>
      </c>
      <c r="I147" vm="845">
        <f ca="1"/>
        <v>1.1478999999999999</v>
      </c>
    </row>
    <row r="148" spans="1:9" x14ac:dyDescent="0.2">
      <c r="A148" s="2" vm="846">
        <f ca="1"/>
        <v>45879</v>
      </c>
      <c r="B148" vm="847">
        <f ca="1"/>
        <v>116801.72</v>
      </c>
      <c r="C148" vm="848">
        <f ca="1"/>
        <v>119113.42</v>
      </c>
      <c r="D148" vm="849">
        <f ca="1"/>
        <v>116423.6</v>
      </c>
      <c r="E148" vm="850">
        <f ca="1"/>
        <v>118382.63</v>
      </c>
      <c r="F148" s="4">
        <f t="shared" ca="1" si="2"/>
        <v>1.3507829512216307E-2</v>
      </c>
      <c r="G148" s="4"/>
      <c r="H148" vm="851">
        <f ca="1"/>
        <v>45825</v>
      </c>
      <c r="I148" vm="845">
        <f ca="1"/>
        <v>1.1478999999999999</v>
      </c>
    </row>
    <row r="149" spans="1:9" x14ac:dyDescent="0.2">
      <c r="A149" s="2" vm="852">
        <f ca="1"/>
        <v>45878</v>
      </c>
      <c r="B149" vm="853">
        <f ca="1"/>
        <v>116889.79</v>
      </c>
      <c r="C149" vm="854">
        <f ca="1"/>
        <v>117919.91</v>
      </c>
      <c r="D149" vm="855">
        <f ca="1"/>
        <v>116398.09</v>
      </c>
      <c r="E149" vm="856">
        <f ca="1"/>
        <v>116804.85</v>
      </c>
      <c r="F149" s="4">
        <f t="shared" ca="1" si="2"/>
        <v>-7.8231731885437849E-4</v>
      </c>
      <c r="G149" s="4"/>
      <c r="H149" vm="857">
        <f ca="1"/>
        <v>45824</v>
      </c>
      <c r="I149" vm="858">
        <f ca="1"/>
        <v>1.1560999999999999</v>
      </c>
    </row>
    <row r="150" spans="1:9" x14ac:dyDescent="0.2">
      <c r="A150" s="2" vm="622">
        <f ca="1"/>
        <v>45877</v>
      </c>
      <c r="B150" vm="859">
        <f ca="1"/>
        <v>117260.1</v>
      </c>
      <c r="C150" vm="860">
        <f ca="1"/>
        <v>117694.32</v>
      </c>
      <c r="D150" vm="861">
        <f ca="1"/>
        <v>115950.7</v>
      </c>
      <c r="E150" vm="862">
        <f ca="1"/>
        <v>116896.3</v>
      </c>
      <c r="F150" s="4">
        <f t="shared" ca="1" si="2"/>
        <v>-2.9975839197268405E-3</v>
      </c>
      <c r="G150" s="4"/>
      <c r="H150" vm="863">
        <f ca="1"/>
        <v>45821</v>
      </c>
      <c r="I150" vm="864">
        <f ca="1"/>
        <v>1.1552</v>
      </c>
    </row>
    <row r="151" spans="1:9" x14ac:dyDescent="0.2">
      <c r="A151" s="2" vm="628">
        <f ca="1"/>
        <v>45876</v>
      </c>
      <c r="B151" vm="865">
        <f ca="1"/>
        <v>115094.95</v>
      </c>
      <c r="C151" vm="866">
        <f ca="1"/>
        <v>117572.21</v>
      </c>
      <c r="D151" vm="867">
        <f ca="1"/>
        <v>114315.77</v>
      </c>
      <c r="E151" vm="868">
        <f ca="1"/>
        <v>117247.76</v>
      </c>
      <c r="F151" s="4">
        <f t="shared" ca="1" si="2"/>
        <v>1.8451390970589149E-2</v>
      </c>
      <c r="G151" s="4"/>
      <c r="H151" vm="869">
        <f ca="1"/>
        <v>45820</v>
      </c>
      <c r="I151" vm="870">
        <f ca="1"/>
        <v>1.1583000000000001</v>
      </c>
    </row>
    <row r="152" spans="1:9" x14ac:dyDescent="0.2">
      <c r="A152" s="2" vm="633">
        <f ca="1"/>
        <v>45875</v>
      </c>
      <c r="B152" vm="871">
        <f ca="1"/>
        <v>113686.59</v>
      </c>
      <c r="C152" vm="872">
        <f ca="1"/>
        <v>115737.55</v>
      </c>
      <c r="D152" vm="873">
        <f ca="1"/>
        <v>113353.07</v>
      </c>
      <c r="E152" vm="874">
        <f ca="1"/>
        <v>115123.57</v>
      </c>
      <c r="F152" s="4">
        <f t="shared" ca="1" si="2"/>
        <v>1.2877004982493008E-2</v>
      </c>
      <c r="G152" s="4"/>
      <c r="H152" vm="875">
        <f ca="1"/>
        <v>45819</v>
      </c>
      <c r="I152" vm="876">
        <f ca="1"/>
        <v>1.1487000000000001</v>
      </c>
    </row>
    <row r="153" spans="1:9" x14ac:dyDescent="0.2">
      <c r="A153" s="2" vm="640">
        <f ca="1"/>
        <v>45874</v>
      </c>
      <c r="B153" vm="877">
        <f ca="1"/>
        <v>114862.15</v>
      </c>
      <c r="C153" vm="878">
        <f ca="1"/>
        <v>115358.85</v>
      </c>
      <c r="D153" vm="879">
        <f ca="1"/>
        <v>112720.85</v>
      </c>
      <c r="E153" vm="880">
        <f ca="1"/>
        <v>113659.97</v>
      </c>
      <c r="F153" s="4">
        <f t="shared" ca="1" si="2"/>
        <v>-1.0471884718115889E-2</v>
      </c>
      <c r="G153" s="4"/>
      <c r="H153" vm="881">
        <f ca="1"/>
        <v>45818</v>
      </c>
      <c r="I153" vm="882">
        <f ca="1"/>
        <v>1.1423000000000001</v>
      </c>
    </row>
    <row r="154" spans="1:9" x14ac:dyDescent="0.2">
      <c r="A154" s="2" vm="647">
        <f ca="1"/>
        <v>45873</v>
      </c>
      <c r="B154" vm="883">
        <f ca="1"/>
        <v>114458</v>
      </c>
      <c r="C154" vm="884">
        <f ca="1"/>
        <v>115741.69</v>
      </c>
      <c r="D154" vm="885">
        <f ca="1"/>
        <v>114134.64</v>
      </c>
      <c r="E154" vm="886">
        <f ca="1"/>
        <v>114862.8</v>
      </c>
      <c r="F154" s="4">
        <f t="shared" ca="1" si="2"/>
        <v>3.5371068588945184E-3</v>
      </c>
      <c r="G154" s="4"/>
      <c r="H154" vm="887">
        <f ca="1"/>
        <v>45817</v>
      </c>
      <c r="I154" vm="888">
        <f ca="1"/>
        <v>1.1419999999999999</v>
      </c>
    </row>
    <row r="155" spans="1:9" x14ac:dyDescent="0.2">
      <c r="A155" s="2" vm="889">
        <f ca="1"/>
        <v>45872</v>
      </c>
      <c r="B155" vm="890">
        <f ca="1"/>
        <v>112796.08</v>
      </c>
      <c r="C155" vm="891">
        <f ca="1"/>
        <v>114790.09</v>
      </c>
      <c r="D155" vm="892">
        <f ca="1"/>
        <v>112003.08</v>
      </c>
      <c r="E155" vm="893">
        <f ca="1"/>
        <v>114457.95</v>
      </c>
      <c r="F155" s="4">
        <f t="shared" ca="1" si="2"/>
        <v>1.4856034782007307E-2</v>
      </c>
      <c r="G155" s="4"/>
      <c r="H155" vm="894">
        <f ca="1"/>
        <v>45814</v>
      </c>
      <c r="I155" vm="895">
        <f ca="1"/>
        <v>1.1394</v>
      </c>
    </row>
    <row r="156" spans="1:9" x14ac:dyDescent="0.2">
      <c r="A156" s="2" vm="896">
        <f ca="1"/>
        <v>45871</v>
      </c>
      <c r="B156" vm="897">
        <f ca="1"/>
        <v>113929.35</v>
      </c>
      <c r="C156" vm="898">
        <f ca="1"/>
        <v>114067.16</v>
      </c>
      <c r="D156" vm="899">
        <f ca="1"/>
        <v>112012.57</v>
      </c>
      <c r="E156" vm="900">
        <f ca="1"/>
        <v>112782.45</v>
      </c>
      <c r="F156" s="4">
        <f t="shared" ca="1" si="2"/>
        <v>-9.9206812524766513E-3</v>
      </c>
      <c r="G156" s="4"/>
      <c r="H156" vm="901">
        <f ca="1"/>
        <v>45813</v>
      </c>
      <c r="I156" vm="902">
        <f ca="1"/>
        <v>1.1444000000000001</v>
      </c>
    </row>
    <row r="157" spans="1:9" x14ac:dyDescent="0.2">
      <c r="A157" s="2" vm="653">
        <f ca="1"/>
        <v>45870</v>
      </c>
      <c r="B157" vm="903">
        <f ca="1"/>
        <v>116518.51</v>
      </c>
      <c r="C157" vm="904">
        <f ca="1"/>
        <v>116927.73</v>
      </c>
      <c r="D157" vm="905">
        <f ca="1"/>
        <v>113167.95</v>
      </c>
      <c r="E157" vm="906">
        <f ca="1"/>
        <v>113912.54</v>
      </c>
      <c r="F157" s="4">
        <f t="shared" ca="1" si="2"/>
        <v>-2.240153281550069E-2</v>
      </c>
      <c r="G157" s="4"/>
      <c r="H157" vm="907">
        <f ca="1"/>
        <v>45812</v>
      </c>
      <c r="I157" vm="908">
        <f ca="1"/>
        <v>1.1416999999999999</v>
      </c>
    </row>
    <row r="158" spans="1:9" x14ac:dyDescent="0.2">
      <c r="A158" s="2" vm="659">
        <f ca="1"/>
        <v>45869</v>
      </c>
      <c r="B158" vm="909">
        <f ca="1"/>
        <v>117166.92</v>
      </c>
      <c r="C158" vm="910">
        <f ca="1"/>
        <v>118949.06</v>
      </c>
      <c r="D158" vm="911">
        <f ca="1"/>
        <v>116473.98</v>
      </c>
      <c r="E158" vm="912">
        <f ca="1"/>
        <v>116522.83</v>
      </c>
      <c r="F158" s="4">
        <f t="shared" ca="1" si="2"/>
        <v>-5.4524667414635464E-3</v>
      </c>
      <c r="G158" s="4"/>
      <c r="H158" vm="913">
        <f ca="1"/>
        <v>45811</v>
      </c>
      <c r="I158" vm="914">
        <f ca="1"/>
        <v>1.137</v>
      </c>
    </row>
    <row r="159" spans="1:9" x14ac:dyDescent="0.2">
      <c r="A159" s="2" vm="665">
        <f ca="1"/>
        <v>45868</v>
      </c>
      <c r="B159" vm="915">
        <f ca="1"/>
        <v>117504.36</v>
      </c>
      <c r="C159" vm="916">
        <f ca="1"/>
        <v>118796.26</v>
      </c>
      <c r="D159" vm="917">
        <f ca="1"/>
        <v>115804.43</v>
      </c>
      <c r="E159" vm="918">
        <f ca="1"/>
        <v>117161.65</v>
      </c>
      <c r="F159" s="4">
        <f t="shared" ca="1" si="2"/>
        <v>-2.4254445704687232E-3</v>
      </c>
      <c r="G159" s="4"/>
      <c r="H159" vm="919">
        <f ca="1"/>
        <v>45810</v>
      </c>
      <c r="I159" vm="920">
        <f ca="1"/>
        <v>1.1440999999999999</v>
      </c>
    </row>
    <row r="160" spans="1:9" x14ac:dyDescent="0.2">
      <c r="A160" s="2" vm="671">
        <f ca="1"/>
        <v>45867</v>
      </c>
      <c r="B160" vm="921">
        <f ca="1"/>
        <v>118023.44</v>
      </c>
      <c r="C160" vm="922">
        <f ca="1"/>
        <v>119293.44</v>
      </c>
      <c r="D160" vm="923">
        <f ca="1"/>
        <v>116997.36</v>
      </c>
      <c r="E160" vm="924">
        <f ca="1"/>
        <v>117446.51</v>
      </c>
      <c r="F160" s="4">
        <f t="shared" ca="1" si="2"/>
        <v>-5.2723403033530982E-3</v>
      </c>
      <c r="G160" s="4"/>
      <c r="H160" vm="925">
        <f ca="1"/>
        <v>45807</v>
      </c>
      <c r="I160" vm="926">
        <f ca="1"/>
        <v>1.1347</v>
      </c>
    </row>
    <row r="161" spans="1:9" x14ac:dyDescent="0.2">
      <c r="A161" s="2" vm="677">
        <f ca="1"/>
        <v>45866</v>
      </c>
      <c r="B161" vm="927">
        <f ca="1"/>
        <v>118834.93</v>
      </c>
      <c r="C161" vm="928">
        <f ca="1"/>
        <v>119819.52</v>
      </c>
      <c r="D161" vm="929">
        <f ca="1"/>
        <v>117455.97</v>
      </c>
      <c r="E161" vm="930">
        <f ca="1"/>
        <v>118069.01</v>
      </c>
      <c r="F161" s="4">
        <f t="shared" ca="1" si="2"/>
        <v>-6.3313558822066761E-3</v>
      </c>
      <c r="G161" s="4"/>
      <c r="H161" vm="931">
        <f ca="1"/>
        <v>45806</v>
      </c>
      <c r="I161" vm="932">
        <f ca="1"/>
        <v>1.1371</v>
      </c>
    </row>
    <row r="162" spans="1:9" x14ac:dyDescent="0.2">
      <c r="A162" s="2" vm="933">
        <f ca="1"/>
        <v>45865</v>
      </c>
      <c r="B162" vm="934">
        <f ca="1"/>
        <v>118020.3</v>
      </c>
      <c r="C162" vm="935">
        <f ca="1"/>
        <v>119564.74</v>
      </c>
      <c r="D162" vm="936">
        <f ca="1"/>
        <v>117842.96</v>
      </c>
      <c r="E162" vm="937">
        <f ca="1"/>
        <v>118821.31</v>
      </c>
      <c r="F162" s="4">
        <f t="shared" ca="1" si="2"/>
        <v>6.6773608365648619E-3</v>
      </c>
      <c r="G162" s="4"/>
      <c r="H162" vm="938">
        <f ca="1"/>
        <v>45805</v>
      </c>
      <c r="I162" vm="939">
        <f ca="1"/>
        <v>1.1292</v>
      </c>
    </row>
    <row r="163" spans="1:9" x14ac:dyDescent="0.2">
      <c r="A163" s="2" vm="940">
        <f ca="1"/>
        <v>45864</v>
      </c>
      <c r="B163" vm="941">
        <f ca="1"/>
        <v>117096.9</v>
      </c>
      <c r="C163" vm="942">
        <f ca="1"/>
        <v>118333.98</v>
      </c>
      <c r="D163" vm="943">
        <f ca="1"/>
        <v>117046.33</v>
      </c>
      <c r="E163" vm="944">
        <f ca="1"/>
        <v>118033.16</v>
      </c>
      <c r="F163" s="4">
        <f t="shared" ca="1" si="2"/>
        <v>7.7035219759373965E-3</v>
      </c>
      <c r="G163" s="4"/>
      <c r="H163" vm="945">
        <f ca="1"/>
        <v>45804</v>
      </c>
      <c r="I163" vm="946">
        <f ca="1"/>
        <v>1.1328</v>
      </c>
    </row>
    <row r="164" spans="1:9" x14ac:dyDescent="0.2">
      <c r="A164" s="2" vm="684">
        <f ca="1"/>
        <v>45863</v>
      </c>
      <c r="B164" vm="947">
        <f ca="1"/>
        <v>118803.95</v>
      </c>
      <c r="C164" vm="948">
        <f ca="1"/>
        <v>118845.78</v>
      </c>
      <c r="D164" vm="949">
        <f ca="1"/>
        <v>114779.36</v>
      </c>
      <c r="E164" vm="950">
        <f ca="1"/>
        <v>117130.84</v>
      </c>
      <c r="F164" s="4">
        <f t="shared" ca="1" si="2"/>
        <v>-1.3871287257915898E-2</v>
      </c>
      <c r="G164" s="4"/>
      <c r="H164" vm="951">
        <f ca="1"/>
        <v>45803</v>
      </c>
      <c r="I164" vm="952">
        <f ca="1"/>
        <v>1.1387</v>
      </c>
    </row>
    <row r="165" spans="1:9" x14ac:dyDescent="0.2">
      <c r="A165" s="2" vm="690">
        <f ca="1"/>
        <v>45862</v>
      </c>
      <c r="B165" vm="953">
        <f ca="1"/>
        <v>117960.36</v>
      </c>
      <c r="C165" vm="954">
        <f ca="1"/>
        <v>119529.16</v>
      </c>
      <c r="D165" vm="955">
        <f ca="1"/>
        <v>117229.04</v>
      </c>
      <c r="E165" vm="956">
        <f ca="1"/>
        <v>118778.45</v>
      </c>
      <c r="F165" s="4">
        <f t="shared" ca="1" si="2"/>
        <v>6.6001901870369629E-3</v>
      </c>
      <c r="G165" s="4"/>
      <c r="H165" vm="957">
        <f ca="1"/>
        <v>45800</v>
      </c>
      <c r="I165" vm="958">
        <f ca="1"/>
        <v>1.1364000000000001</v>
      </c>
    </row>
    <row r="166" spans="1:9" x14ac:dyDescent="0.2">
      <c r="A166" s="2" vm="696">
        <f ca="1"/>
        <v>45861</v>
      </c>
      <c r="B166" vm="959">
        <f ca="1"/>
        <v>119813.17</v>
      </c>
      <c r="C166" vm="960">
        <f ca="1"/>
        <v>120265.89</v>
      </c>
      <c r="D166" vm="961">
        <f ca="1"/>
        <v>117404.49</v>
      </c>
      <c r="E166" vm="962">
        <f ca="1"/>
        <v>117999.63</v>
      </c>
      <c r="F166" s="4">
        <f t="shared" ca="1" si="2"/>
        <v>-1.4870657538329383E-2</v>
      </c>
      <c r="G166" s="4"/>
      <c r="H166" vm="963">
        <f ca="1"/>
        <v>45799</v>
      </c>
      <c r="I166" vm="964">
        <f ca="1"/>
        <v>1.1279999999999999</v>
      </c>
    </row>
    <row r="167" spans="1:9" x14ac:dyDescent="0.2">
      <c r="A167" s="2" vm="702">
        <f ca="1"/>
        <v>45860</v>
      </c>
      <c r="B167" vm="965">
        <f ca="1"/>
        <v>116990.14</v>
      </c>
      <c r="C167" vm="966">
        <f ca="1"/>
        <v>120221.91</v>
      </c>
      <c r="D167" vm="967">
        <f ca="1"/>
        <v>116238.82</v>
      </c>
      <c r="E167" vm="968">
        <f ca="1"/>
        <v>119780.85</v>
      </c>
      <c r="F167" s="4">
        <f t="shared" ca="1" si="2"/>
        <v>2.3735311686217269E-2</v>
      </c>
      <c r="G167" s="4"/>
      <c r="H167" vm="969">
        <f ca="1"/>
        <v>45798</v>
      </c>
      <c r="I167" vm="970">
        <f ca="1"/>
        <v>1.1329</v>
      </c>
    </row>
    <row r="168" spans="1:9" x14ac:dyDescent="0.2">
      <c r="A168" s="2" vm="708">
        <f ca="1"/>
        <v>45859</v>
      </c>
      <c r="B168" vm="971">
        <f ca="1"/>
        <v>118136.76</v>
      </c>
      <c r="C168" vm="972">
        <f ca="1"/>
        <v>119658.14</v>
      </c>
      <c r="D168" vm="973">
        <f ca="1"/>
        <v>116605.23</v>
      </c>
      <c r="E168" vm="974">
        <f ca="1"/>
        <v>117003.73</v>
      </c>
      <c r="F168" s="4">
        <f t="shared" ca="1" si="2"/>
        <v>-9.5815276760232698E-3</v>
      </c>
      <c r="G168" s="4"/>
      <c r="H168" vm="975">
        <f ca="1"/>
        <v>45797</v>
      </c>
      <c r="I168" vm="976">
        <f ca="1"/>
        <v>1.1282000000000001</v>
      </c>
    </row>
    <row r="169" spans="1:9" x14ac:dyDescent="0.2">
      <c r="A169" s="2" vm="977">
        <f ca="1"/>
        <v>45858</v>
      </c>
      <c r="B169" vm="978">
        <f ca="1"/>
        <v>117804.83</v>
      </c>
      <c r="C169" vm="979">
        <f ca="1"/>
        <v>118857</v>
      </c>
      <c r="D169" vm="980">
        <f ca="1"/>
        <v>117377.05</v>
      </c>
      <c r="E169" vm="981">
        <f ca="1"/>
        <v>118135.65</v>
      </c>
      <c r="F169" s="4">
        <f t="shared" ca="1" si="2"/>
        <v>2.8309328114186588E-3</v>
      </c>
      <c r="G169" s="4"/>
      <c r="H169" vm="982">
        <f ca="1"/>
        <v>45796</v>
      </c>
      <c r="I169" vm="983">
        <f ca="1"/>
        <v>1.1242000000000001</v>
      </c>
    </row>
    <row r="170" spans="1:9" x14ac:dyDescent="0.2">
      <c r="A170" s="2" vm="984">
        <f ca="1"/>
        <v>45857</v>
      </c>
      <c r="B170" vm="985">
        <f ca="1"/>
        <v>117469.61</v>
      </c>
      <c r="C170" vm="986">
        <f ca="1"/>
        <v>118538.41</v>
      </c>
      <c r="D170" vm="987">
        <f ca="1"/>
        <v>117460.49</v>
      </c>
      <c r="E170" vm="988">
        <f ca="1"/>
        <v>117802.16</v>
      </c>
      <c r="F170" s="4">
        <f t="shared" ca="1" si="2"/>
        <v>2.6289163090859719E-3</v>
      </c>
      <c r="G170" s="4"/>
      <c r="H170" vm="989">
        <f ca="1"/>
        <v>45793</v>
      </c>
      <c r="I170" vm="990">
        <f ca="1"/>
        <v>1.1163000000000001</v>
      </c>
    </row>
    <row r="171" spans="1:9" x14ac:dyDescent="0.2">
      <c r="A171" s="2" vm="714">
        <f ca="1"/>
        <v>45856</v>
      </c>
      <c r="B171" vm="991">
        <f ca="1"/>
        <v>119501.13</v>
      </c>
      <c r="C171" vm="992">
        <f ca="1"/>
        <v>120997.75999999999</v>
      </c>
      <c r="D171" vm="993">
        <f ca="1"/>
        <v>116925.57</v>
      </c>
      <c r="E171" vm="994">
        <f ca="1"/>
        <v>117493.28</v>
      </c>
      <c r="F171" s="4">
        <f t="shared" ca="1" si="2"/>
        <v>-1.6655790676141764E-2</v>
      </c>
      <c r="G171" s="4"/>
      <c r="H171" vm="995">
        <f ca="1"/>
        <v>45792</v>
      </c>
      <c r="I171" vm="996">
        <f ca="1"/>
        <v>1.1187</v>
      </c>
    </row>
    <row r="172" spans="1:9" x14ac:dyDescent="0.2">
      <c r="A172" s="2" vm="719">
        <f ca="1"/>
        <v>45855</v>
      </c>
      <c r="B172" vm="997">
        <f ca="1"/>
        <v>119949.54</v>
      </c>
      <c r="C172" vm="998">
        <f ca="1"/>
        <v>120059.21</v>
      </c>
      <c r="D172" vm="999">
        <f ca="1"/>
        <v>117553.73</v>
      </c>
      <c r="E172" vm="1000">
        <f ca="1"/>
        <v>119483.37</v>
      </c>
      <c r="F172" s="4">
        <f t="shared" ca="1" si="2"/>
        <v>-3.8144625919036886E-3</v>
      </c>
      <c r="G172" s="4"/>
      <c r="H172" vm="1001">
        <f ca="1"/>
        <v>45791</v>
      </c>
      <c r="I172" vm="1002">
        <f ca="1"/>
        <v>1.1173999999999999</v>
      </c>
    </row>
    <row r="173" spans="1:9" x14ac:dyDescent="0.2">
      <c r="A173" s="2" vm="725">
        <f ca="1"/>
        <v>45854</v>
      </c>
      <c r="B173" vm="1003">
        <f ca="1"/>
        <v>116423.84</v>
      </c>
      <c r="C173" vm="1004">
        <f ca="1"/>
        <v>119990.63</v>
      </c>
      <c r="D173" vm="1005">
        <f ca="1"/>
        <v>116401.22</v>
      </c>
      <c r="E173" vm="1006">
        <f ca="1"/>
        <v>119940.88</v>
      </c>
      <c r="F173" s="4">
        <f t="shared" ca="1" si="2"/>
        <v>2.9719385926361631E-2</v>
      </c>
      <c r="G173" s="4"/>
      <c r="H173" vm="1007">
        <f ca="1"/>
        <v>45790</v>
      </c>
      <c r="I173" vm="1008">
        <f ca="1"/>
        <v>1.1184000000000001</v>
      </c>
    </row>
    <row r="174" spans="1:9" x14ac:dyDescent="0.2">
      <c r="A174" s="2" vm="732">
        <f ca="1"/>
        <v>45853</v>
      </c>
      <c r="B174" vm="1009">
        <f ca="1"/>
        <v>120213.93</v>
      </c>
      <c r="C174" vm="1010">
        <f ca="1"/>
        <v>120321.04</v>
      </c>
      <c r="D174" vm="1011">
        <f ca="1"/>
        <v>115765.72</v>
      </c>
      <c r="E174" vm="1012">
        <f ca="1"/>
        <v>116479.19</v>
      </c>
      <c r="F174" s="4">
        <f t="shared" ca="1" si="2"/>
        <v>-3.1134664151658439E-2</v>
      </c>
      <c r="G174" s="4"/>
      <c r="H174" vm="1013">
        <f ca="1"/>
        <v>45789</v>
      </c>
      <c r="I174" vm="1014">
        <f ca="1"/>
        <v>1.1087</v>
      </c>
    </row>
    <row r="175" spans="1:9" x14ac:dyDescent="0.2">
      <c r="A175" s="2" vm="737">
        <f ca="1"/>
        <v>45852</v>
      </c>
      <c r="B175" vm="1015">
        <f ca="1"/>
        <v>119100.81</v>
      </c>
      <c r="C175" vm="1016">
        <f ca="1"/>
        <v>123153.22</v>
      </c>
      <c r="D175" vm="1017">
        <f ca="1"/>
        <v>118363.23</v>
      </c>
      <c r="E175" vm="1018">
        <f ca="1"/>
        <v>120222.27</v>
      </c>
      <c r="F175" s="4">
        <f t="shared" ca="1" si="2"/>
        <v>9.1888002808416438E-3</v>
      </c>
      <c r="G175" s="4"/>
      <c r="H175" vm="1019">
        <f ca="1"/>
        <v>45786</v>
      </c>
      <c r="I175" vm="1020">
        <f ca="1"/>
        <v>1.1247</v>
      </c>
    </row>
    <row r="176" spans="1:9" x14ac:dyDescent="0.2">
      <c r="A176" s="2" vm="1021">
        <f ca="1"/>
        <v>45851</v>
      </c>
      <c r="B176" vm="1022">
        <f ca="1"/>
        <v>117084.06</v>
      </c>
      <c r="C176" vm="1023">
        <f ca="1"/>
        <v>119437.44</v>
      </c>
      <c r="D176" vm="1024">
        <f ca="1"/>
        <v>117047.94</v>
      </c>
      <c r="E176" vm="1025">
        <f ca="1"/>
        <v>119127.63</v>
      </c>
      <c r="F176" s="4">
        <f t="shared" ca="1" si="2"/>
        <v>1.7065751753156392E-2</v>
      </c>
      <c r="G176" s="4"/>
      <c r="H176" vm="1026">
        <f ca="1"/>
        <v>45785</v>
      </c>
      <c r="I176" vm="1027">
        <f ca="1"/>
        <v>1.1227</v>
      </c>
    </row>
    <row r="177" spans="1:9" x14ac:dyDescent="0.2">
      <c r="A177" s="2" vm="1028">
        <f ca="1"/>
        <v>45850</v>
      </c>
      <c r="B177" vm="1029">
        <f ca="1"/>
        <v>117717.38</v>
      </c>
      <c r="C177" vm="1030">
        <f ca="1"/>
        <v>118180.88</v>
      </c>
      <c r="D177" vm="1031">
        <f ca="1"/>
        <v>116980.38</v>
      </c>
      <c r="E177" vm="1032">
        <f ca="1"/>
        <v>117128.74</v>
      </c>
      <c r="F177" s="4">
        <f t="shared" ca="1" si="2"/>
        <v>-5.0978137058953999E-3</v>
      </c>
      <c r="G177" s="4"/>
      <c r="H177" vm="1033">
        <f ca="1"/>
        <v>45784</v>
      </c>
      <c r="I177" vm="1034">
        <f ca="1"/>
        <v>1.1298999999999999</v>
      </c>
    </row>
    <row r="178" spans="1:9" x14ac:dyDescent="0.2">
      <c r="A178" s="2" vm="743">
        <f ca="1"/>
        <v>45849</v>
      </c>
      <c r="B178" vm="1035">
        <f ca="1"/>
        <v>113528.23</v>
      </c>
      <c r="C178" vm="1036">
        <f ca="1"/>
        <v>118832</v>
      </c>
      <c r="D178" vm="1037">
        <f ca="1"/>
        <v>113475.16</v>
      </c>
      <c r="E178" vm="1038">
        <f ca="1"/>
        <v>117728.9</v>
      </c>
      <c r="F178" s="4">
        <f t="shared" ca="1" si="2"/>
        <v>3.6474597639319671E-2</v>
      </c>
      <c r="G178" s="4"/>
      <c r="H178" vm="1039">
        <f ca="1"/>
        <v>45783</v>
      </c>
      <c r="I178" vm="1040">
        <f ca="1"/>
        <v>1.1368</v>
      </c>
    </row>
    <row r="179" spans="1:9" x14ac:dyDescent="0.2">
      <c r="A179" s="2" vm="749">
        <f ca="1"/>
        <v>45848</v>
      </c>
      <c r="B179" vm="1041">
        <f ca="1"/>
        <v>110762.55</v>
      </c>
      <c r="C179" vm="1042">
        <f ca="1"/>
        <v>113820.49</v>
      </c>
      <c r="D179" vm="1043">
        <f ca="1"/>
        <v>110626.93</v>
      </c>
      <c r="E179" vm="1044">
        <f ca="1"/>
        <v>113585.9</v>
      </c>
      <c r="F179" s="4">
        <f t="shared" ca="1" si="2"/>
        <v>2.5350700380699615E-2</v>
      </c>
      <c r="G179" s="4"/>
      <c r="H179" vm="1045">
        <f ca="1"/>
        <v>45782</v>
      </c>
      <c r="I179" vm="1046">
        <f ca="1"/>
        <v>1.1314</v>
      </c>
    </row>
    <row r="180" spans="1:9" x14ac:dyDescent="0.2">
      <c r="A180" s="2" vm="755">
        <f ca="1"/>
        <v>45847</v>
      </c>
      <c r="B180" vm="1047">
        <f ca="1"/>
        <v>108697.34</v>
      </c>
      <c r="C180" vm="1048">
        <f ca="1"/>
        <v>111988.9</v>
      </c>
      <c r="D180" vm="1049">
        <f ca="1"/>
        <v>108384.01</v>
      </c>
      <c r="E180" vm="1050">
        <f ca="1"/>
        <v>110777.61</v>
      </c>
      <c r="F180" s="4">
        <f t="shared" ca="1" si="2"/>
        <v>1.8960075366775631E-2</v>
      </c>
      <c r="G180" s="4"/>
      <c r="H180" vm="1051">
        <f ca="1"/>
        <v>45779</v>
      </c>
      <c r="I180" vm="1052">
        <f ca="1"/>
        <v>1.1294999999999999</v>
      </c>
    </row>
    <row r="181" spans="1:9" x14ac:dyDescent="0.2">
      <c r="A181" s="2" vm="761">
        <f ca="1"/>
        <v>45846</v>
      </c>
      <c r="B181" vm="1053">
        <f ca="1"/>
        <v>107899.18</v>
      </c>
      <c r="C181" vm="1054">
        <f ca="1"/>
        <v>109226.73</v>
      </c>
      <c r="D181" vm="1055">
        <f ca="1"/>
        <v>107506.14</v>
      </c>
      <c r="E181" vm="1056">
        <f ca="1"/>
        <v>108716.34</v>
      </c>
      <c r="F181" s="4">
        <f t="shared" ca="1" si="2"/>
        <v>7.3627426689005498E-3</v>
      </c>
      <c r="G181" s="4"/>
      <c r="H181" vm="1057">
        <f ca="1"/>
        <v>45778</v>
      </c>
      <c r="I181" vm="1058">
        <f ca="1"/>
        <v>1.1291</v>
      </c>
    </row>
    <row r="182" spans="1:9" x14ac:dyDescent="0.2">
      <c r="A182" s="2" vm="768">
        <f ca="1"/>
        <v>45845</v>
      </c>
      <c r="B182" vm="1059">
        <f ca="1"/>
        <v>108707.68</v>
      </c>
      <c r="C182" vm="1060">
        <f ca="1"/>
        <v>109731.06</v>
      </c>
      <c r="D182" vm="1061">
        <f ca="1"/>
        <v>107554.76</v>
      </c>
      <c r="E182" vm="1062">
        <f ca="1"/>
        <v>107921.74</v>
      </c>
      <c r="F182" s="4">
        <f t="shared" ca="1" si="2"/>
        <v>-7.6521365570755145E-3</v>
      </c>
      <c r="G182" s="4"/>
      <c r="H182" vm="1063">
        <f ca="1"/>
        <v>45777</v>
      </c>
      <c r="I182" vm="1064">
        <f ca="1"/>
        <v>1.1327</v>
      </c>
    </row>
    <row r="183" spans="1:9" x14ac:dyDescent="0.2">
      <c r="A183" s="2" vm="1065">
        <f ca="1"/>
        <v>45844</v>
      </c>
      <c r="B183" vm="1066">
        <f ca="1"/>
        <v>108153.81</v>
      </c>
      <c r="C183" vm="1067">
        <f ca="1"/>
        <v>109133.84</v>
      </c>
      <c r="D183" vm="1068">
        <f ca="1"/>
        <v>107840.78</v>
      </c>
      <c r="E183" vm="1069">
        <f ca="1"/>
        <v>108753.94</v>
      </c>
      <c r="F183" s="4">
        <f t="shared" ca="1" si="2"/>
        <v>5.5623381681176604E-3</v>
      </c>
      <c r="G183" s="4"/>
      <c r="H183" vm="1070">
        <f ca="1"/>
        <v>45776</v>
      </c>
      <c r="I183" vm="1071">
        <f ca="1"/>
        <v>1.1385000000000001</v>
      </c>
    </row>
    <row r="184" spans="1:9" x14ac:dyDescent="0.2">
      <c r="A184" s="2" vm="1072">
        <f ca="1"/>
        <v>45843</v>
      </c>
      <c r="B184" vm="1073">
        <f ca="1"/>
        <v>107779.34</v>
      </c>
      <c r="C184" vm="1074">
        <f ca="1"/>
        <v>108422.22</v>
      </c>
      <c r="D184" vm="1075">
        <f ca="1"/>
        <v>107737.15</v>
      </c>
      <c r="E184" vm="1076">
        <f ca="1"/>
        <v>108152.36</v>
      </c>
      <c r="F184" s="4">
        <f t="shared" ca="1" si="2"/>
        <v>3.464404976221237E-3</v>
      </c>
      <c r="G184" s="4"/>
      <c r="H184" vm="1077">
        <f ca="1"/>
        <v>45775</v>
      </c>
      <c r="I184" vm="1078">
        <f ca="1"/>
        <v>1.1420999999999999</v>
      </c>
    </row>
    <row r="185" spans="1:9" x14ac:dyDescent="0.2">
      <c r="A185" s="2" vm="775">
        <f ca="1"/>
        <v>45842</v>
      </c>
      <c r="B185" vm="1079">
        <f ca="1"/>
        <v>110002.21</v>
      </c>
      <c r="C185" vm="1080">
        <f ca="1"/>
        <v>110045.71</v>
      </c>
      <c r="D185" vm="1081">
        <f ca="1"/>
        <v>107340.96</v>
      </c>
      <c r="E185" vm="1082">
        <f ca="1"/>
        <v>107778.97</v>
      </c>
      <c r="F185" s="4">
        <f t="shared" ca="1" si="2"/>
        <v>-2.0128113700409053E-2</v>
      </c>
      <c r="G185" s="4"/>
      <c r="H185" vm="1083">
        <f ca="1"/>
        <v>45772</v>
      </c>
      <c r="I185" vm="958">
        <f ca="1"/>
        <v>1.1364000000000001</v>
      </c>
    </row>
    <row r="186" spans="1:9" x14ac:dyDescent="0.2">
      <c r="A186" s="2" vm="780">
        <f ca="1"/>
        <v>45841</v>
      </c>
      <c r="B186" vm="1084">
        <f ca="1"/>
        <v>109240.01</v>
      </c>
      <c r="C186" vm="1085">
        <f ca="1"/>
        <v>110585.56</v>
      </c>
      <c r="D186" vm="1086">
        <f ca="1"/>
        <v>108620.86</v>
      </c>
      <c r="E186" vm="1087">
        <f ca="1"/>
        <v>109992.92</v>
      </c>
      <c r="F186" s="4">
        <f t="shared" ca="1" si="2"/>
        <v>6.9739263937073272E-3</v>
      </c>
      <c r="G186" s="4"/>
      <c r="H186" vm="1088">
        <f ca="1"/>
        <v>45771</v>
      </c>
      <c r="I186" vm="1089">
        <f ca="1"/>
        <v>1.1388</v>
      </c>
    </row>
    <row r="187" spans="1:9" x14ac:dyDescent="0.2">
      <c r="A187" s="2" vm="786">
        <f ca="1"/>
        <v>45840</v>
      </c>
      <c r="B187" vm="1090">
        <f ca="1"/>
        <v>105968.37</v>
      </c>
      <c r="C187" vm="1091">
        <f ca="1"/>
        <v>109813.34</v>
      </c>
      <c r="D187" vm="1092">
        <f ca="1"/>
        <v>105177.99</v>
      </c>
      <c r="E187" vm="1093">
        <f ca="1"/>
        <v>109231.15</v>
      </c>
      <c r="F187" s="4">
        <f t="shared" ca="1" si="2"/>
        <v>3.0802387646506484E-2</v>
      </c>
      <c r="G187" s="4"/>
      <c r="H187" vm="1094">
        <f ca="1"/>
        <v>45770</v>
      </c>
      <c r="I187" vm="1095">
        <f ca="1"/>
        <v>1.1313</v>
      </c>
    </row>
    <row r="188" spans="1:9" x14ac:dyDescent="0.2">
      <c r="A188" s="2" vm="792">
        <f ca="1"/>
        <v>45839</v>
      </c>
      <c r="B188" vm="1096">
        <f ca="1"/>
        <v>107622.66</v>
      </c>
      <c r="C188" vm="1097">
        <f ca="1"/>
        <v>107632.36</v>
      </c>
      <c r="D188" vm="1098">
        <f ca="1"/>
        <v>105308.65</v>
      </c>
      <c r="E188" vm="1099">
        <f ca="1"/>
        <v>105967.11</v>
      </c>
      <c r="F188" s="4">
        <f t="shared" ca="1" si="2"/>
        <v>-1.536342554715163E-2</v>
      </c>
      <c r="G188" s="4"/>
      <c r="H188" vm="1100">
        <f ca="1"/>
        <v>45769</v>
      </c>
      <c r="I188" vm="888">
        <f ca="1"/>
        <v>1.1419999999999999</v>
      </c>
    </row>
    <row r="189" spans="1:9" x14ac:dyDescent="0.2">
      <c r="A189" s="2" vm="798">
        <f ca="1"/>
        <v>45838</v>
      </c>
      <c r="B189" vm="1101">
        <f ca="1"/>
        <v>107417.21</v>
      </c>
      <c r="C189" vm="1102">
        <f ca="1"/>
        <v>108797.01</v>
      </c>
      <c r="D189" vm="1103">
        <f ca="1"/>
        <v>106792.04</v>
      </c>
      <c r="E189" vm="1104">
        <f ca="1"/>
        <v>107620.53</v>
      </c>
      <c r="F189" s="4">
        <f t="shared" ca="1" si="2"/>
        <v>1.8313446368495242E-3</v>
      </c>
      <c r="G189" s="4"/>
      <c r="H189" vm="1105">
        <f ca="1"/>
        <v>45768</v>
      </c>
      <c r="I189" vm="1106">
        <f ca="1"/>
        <v>1.1513</v>
      </c>
    </row>
    <row r="190" spans="1:9" x14ac:dyDescent="0.2">
      <c r="A190" s="2" vm="1107">
        <f ca="1"/>
        <v>45837</v>
      </c>
      <c r="B190" vm="1108">
        <f ca="1"/>
        <v>107219.89</v>
      </c>
      <c r="C190" vm="1109">
        <f ca="1"/>
        <v>108521.17</v>
      </c>
      <c r="D190" vm="1110">
        <f ca="1"/>
        <v>107194.06</v>
      </c>
      <c r="E190" vm="1111">
        <f ca="1"/>
        <v>107423.8</v>
      </c>
      <c r="F190" s="4">
        <f t="shared" ca="1" si="2"/>
        <v>1.8770307064168534E-3</v>
      </c>
      <c r="G190" s="4"/>
      <c r="H190" vm="1112">
        <f ca="1"/>
        <v>45765</v>
      </c>
      <c r="I190" vm="1113">
        <f ca="1"/>
        <v>1.1391</v>
      </c>
    </row>
    <row r="191" spans="1:9" x14ac:dyDescent="0.2">
      <c r="A191" s="2" vm="1114">
        <f ca="1"/>
        <v>45836</v>
      </c>
      <c r="B191" vm="1115">
        <f ca="1"/>
        <v>107139.08</v>
      </c>
      <c r="C191" vm="1116">
        <f ca="1"/>
        <v>107558.52</v>
      </c>
      <c r="D191" vm="1117">
        <f ca="1"/>
        <v>106891.68</v>
      </c>
      <c r="E191" vm="1118">
        <f ca="1"/>
        <v>107222.54</v>
      </c>
      <c r="F191" s="4">
        <f t="shared" ca="1" si="2"/>
        <v>7.5731696617740128E-4</v>
      </c>
      <c r="G191" s="4"/>
      <c r="H191" vm="1119">
        <f ca="1"/>
        <v>45764</v>
      </c>
      <c r="I191" vm="1120">
        <f ca="1"/>
        <v>1.1363000000000001</v>
      </c>
    </row>
    <row r="192" spans="1:9" x14ac:dyDescent="0.2">
      <c r="A192" s="2" vm="803">
        <f ca="1"/>
        <v>45835</v>
      </c>
      <c r="B192" vm="1121">
        <f ca="1"/>
        <v>107812.92</v>
      </c>
      <c r="C192" vm="1121">
        <f ca="1"/>
        <v>107812.92</v>
      </c>
      <c r="D192" vm="1122">
        <f ca="1"/>
        <v>106456.39</v>
      </c>
      <c r="E192" vm="1123">
        <f ca="1"/>
        <v>107141.4</v>
      </c>
      <c r="F192" s="4">
        <f t="shared" ca="1" si="2"/>
        <v>-6.1953827368544092E-3</v>
      </c>
      <c r="G192" s="4"/>
      <c r="H192" vm="1124">
        <f ca="1"/>
        <v>45763</v>
      </c>
      <c r="I192" vm="1125">
        <f ca="1"/>
        <v>1.1397999999999999</v>
      </c>
    </row>
    <row r="193" spans="1:9" x14ac:dyDescent="0.2">
      <c r="A193" s="2" vm="809">
        <f ca="1"/>
        <v>45834</v>
      </c>
      <c r="B193" vm="1126">
        <f ca="1"/>
        <v>107834.95</v>
      </c>
      <c r="C193" vm="1127">
        <f ca="1"/>
        <v>108291.52</v>
      </c>
      <c r="D193" vm="1128">
        <f ca="1"/>
        <v>106663.36</v>
      </c>
      <c r="E193" vm="1129">
        <f ca="1"/>
        <v>107809.32</v>
      </c>
      <c r="F193" s="4">
        <f t="shared" ca="1" si="2"/>
        <v>-3.7162932756220431E-4</v>
      </c>
      <c r="G193" s="4"/>
      <c r="H193" vm="1130">
        <f ca="1"/>
        <v>45762</v>
      </c>
      <c r="I193" vm="1131">
        <f ca="1"/>
        <v>1.1281000000000001</v>
      </c>
    </row>
    <row r="194" spans="1:9" x14ac:dyDescent="0.2">
      <c r="A194" s="2" vm="815">
        <f ca="1"/>
        <v>45833</v>
      </c>
      <c r="B194" vm="1132">
        <f ca="1"/>
        <v>106140.11</v>
      </c>
      <c r="C194" vm="1133">
        <f ca="1"/>
        <v>108161.53</v>
      </c>
      <c r="D194" vm="1134">
        <f ca="1"/>
        <v>105812.46</v>
      </c>
      <c r="E194" vm="1135">
        <f ca="1"/>
        <v>107849.4</v>
      </c>
      <c r="F194" s="4">
        <f t="shared" ca="1" si="2"/>
        <v>1.600626206249187E-2</v>
      </c>
      <c r="G194" s="4"/>
      <c r="H194" vm="1136">
        <f ca="1"/>
        <v>45761</v>
      </c>
      <c r="I194" vm="1137">
        <f ca="1"/>
        <v>1.1349</v>
      </c>
    </row>
    <row r="195" spans="1:9" x14ac:dyDescent="0.2">
      <c r="A195" s="2" vm="820">
        <f ca="1"/>
        <v>45832</v>
      </c>
      <c r="B195" vm="1138">
        <f ca="1"/>
        <v>103889.16</v>
      </c>
      <c r="C195" vm="1139">
        <f ca="1"/>
        <v>106329.49</v>
      </c>
      <c r="D195" vm="1140">
        <f ca="1"/>
        <v>103731.48</v>
      </c>
      <c r="E195" vm="1141">
        <f ca="1"/>
        <v>106150.33</v>
      </c>
      <c r="F195" s="4">
        <f t="shared" ca="1" si="2"/>
        <v>2.2632230801452161E-2</v>
      </c>
      <c r="G195" s="4"/>
      <c r="H195" vm="1142">
        <f ca="1"/>
        <v>45758</v>
      </c>
      <c r="I195" vm="1143">
        <f ca="1"/>
        <v>1.1359999999999999</v>
      </c>
    </row>
    <row r="196" spans="1:9" x14ac:dyDescent="0.2">
      <c r="A196" s="2" vm="826">
        <f ca="1"/>
        <v>45831</v>
      </c>
      <c r="B196" vm="1144">
        <f ca="1"/>
        <v>99610.45</v>
      </c>
      <c r="C196" vm="1145">
        <f ca="1"/>
        <v>103989.53</v>
      </c>
      <c r="D196" vm="1146">
        <f ca="1"/>
        <v>99093.46</v>
      </c>
      <c r="E196" vm="1147">
        <f ca="1"/>
        <v>103801.08</v>
      </c>
      <c r="F196" s="4">
        <f t="shared" ca="1" si="2"/>
        <v>4.2519592987712629E-2</v>
      </c>
      <c r="G196" s="4"/>
      <c r="H196" vm="1148">
        <f ca="1"/>
        <v>45757</v>
      </c>
      <c r="I196" vm="1149">
        <f ca="1"/>
        <v>1.1196999999999999</v>
      </c>
    </row>
    <row r="197" spans="1:9" x14ac:dyDescent="0.2">
      <c r="A197" s="2" vm="1150">
        <f ca="1"/>
        <v>45830</v>
      </c>
      <c r="B197" vm="1151">
        <f ca="1"/>
        <v>102078.58</v>
      </c>
      <c r="C197" vm="1152">
        <f ca="1"/>
        <v>103364.07</v>
      </c>
      <c r="D197" vm="1153">
        <f ca="1"/>
        <v>98286.97</v>
      </c>
      <c r="E197" vm="1154">
        <f ca="1"/>
        <v>99567.51</v>
      </c>
      <c r="F197" s="4">
        <f t="shared" ca="1" si="2"/>
        <v>-3.8111986002087928E-2</v>
      </c>
      <c r="G197" s="4"/>
      <c r="H197" vm="1155">
        <f ca="1"/>
        <v>45756</v>
      </c>
      <c r="I197" vm="1156">
        <f ca="1"/>
        <v>1.0951</v>
      </c>
    </row>
    <row r="198" spans="1:9" x14ac:dyDescent="0.2">
      <c r="A198" s="2" vm="1157">
        <f ca="1"/>
        <v>45829</v>
      </c>
      <c r="B198" vm="1158">
        <f ca="1"/>
        <v>103753.08</v>
      </c>
      <c r="C198" vm="1159">
        <f ca="1"/>
        <v>104031.7</v>
      </c>
      <c r="D198" vm="1160">
        <f ca="1"/>
        <v>103027.21</v>
      </c>
      <c r="E198" vm="1161">
        <f ca="1"/>
        <v>103512.58</v>
      </c>
      <c r="F198" s="4">
        <f t="shared" ca="1" si="2"/>
        <v>-1.998652524472675E-3</v>
      </c>
      <c r="G198" s="4"/>
      <c r="H198" vm="1162">
        <f ca="1"/>
        <v>45755</v>
      </c>
      <c r="I198" vm="1163">
        <f ca="1"/>
        <v>1.0955999999999999</v>
      </c>
    </row>
    <row r="199" spans="1:9" x14ac:dyDescent="0.2">
      <c r="A199" s="2" vm="832">
        <f ca="1"/>
        <v>45828</v>
      </c>
      <c r="B199" vm="1164">
        <f ca="1"/>
        <v>104307.62</v>
      </c>
      <c r="C199" vm="1165">
        <f ca="1"/>
        <v>106529.68</v>
      </c>
      <c r="D199" vm="1166">
        <f ca="1"/>
        <v>102403.38</v>
      </c>
      <c r="E199" vm="1167">
        <f ca="1"/>
        <v>103719.88</v>
      </c>
      <c r="F199" s="4">
        <f t="shared" ca="1" si="2"/>
        <v>-5.5849146328367282E-3</v>
      </c>
      <c r="G199" s="4"/>
      <c r="H199" vm="1168">
        <f ca="1"/>
        <v>45754</v>
      </c>
      <c r="I199" vm="1169">
        <f ca="1"/>
        <v>1.0904</v>
      </c>
    </row>
    <row r="200" spans="1:9" x14ac:dyDescent="0.2">
      <c r="A200" s="2" vm="838">
        <f ca="1"/>
        <v>45827</v>
      </c>
      <c r="B200" vm="1170">
        <f ca="1"/>
        <v>104854</v>
      </c>
      <c r="C200" vm="1171">
        <f ca="1"/>
        <v>105259.75</v>
      </c>
      <c r="D200" vm="1172">
        <f ca="1"/>
        <v>103972.78</v>
      </c>
      <c r="E200" vm="1173">
        <f ca="1"/>
        <v>104302.39999999999</v>
      </c>
      <c r="F200" s="4">
        <f t="shared" ca="1" si="2"/>
        <v>-5.2798113069713109E-3</v>
      </c>
      <c r="G200" s="4"/>
      <c r="H200" vm="1174">
        <f ca="1"/>
        <v>45751</v>
      </c>
      <c r="I200" vm="1175">
        <f ca="1"/>
        <v>1.0954999999999999</v>
      </c>
    </row>
    <row r="201" spans="1:9" x14ac:dyDescent="0.2">
      <c r="A201" s="2" vm="844">
        <f ca="1"/>
        <v>45826</v>
      </c>
      <c r="B201" vm="1176">
        <f ca="1"/>
        <v>104412.51</v>
      </c>
      <c r="C201" vm="1177">
        <f ca="1"/>
        <v>105570.87</v>
      </c>
      <c r="D201" vm="1178">
        <f ca="1"/>
        <v>103565.89</v>
      </c>
      <c r="E201" vm="1179">
        <f ca="1"/>
        <v>104856.02</v>
      </c>
      <c r="F201" s="4">
        <f t="shared" ca="1" si="2"/>
        <v>4.1558268434850488E-3</v>
      </c>
      <c r="G201" s="4"/>
      <c r="H201" vm="1180">
        <f ca="1"/>
        <v>45750</v>
      </c>
      <c r="I201" vm="1181">
        <f ca="1"/>
        <v>1.105</v>
      </c>
    </row>
    <row r="202" spans="1:9" x14ac:dyDescent="0.2">
      <c r="A202" s="2" vm="851">
        <f ca="1"/>
        <v>45825</v>
      </c>
      <c r="B202" vm="1182">
        <f ca="1"/>
        <v>108832.6</v>
      </c>
      <c r="C202" vm="1183">
        <f ca="1"/>
        <v>108969.89</v>
      </c>
      <c r="D202" vm="1184">
        <f ca="1"/>
        <v>103399.15</v>
      </c>
      <c r="E202" vm="1185">
        <f ca="1"/>
        <v>104422.06</v>
      </c>
      <c r="F202" s="4">
        <f t="shared" ca="1" si="2"/>
        <v>-4.0585060673390891E-2</v>
      </c>
      <c r="G202" s="4"/>
      <c r="H202" vm="1186">
        <f ca="1"/>
        <v>45749</v>
      </c>
      <c r="I202" vm="1187">
        <f ca="1"/>
        <v>1.0854999999999999</v>
      </c>
    </row>
    <row r="203" spans="1:9" x14ac:dyDescent="0.2">
      <c r="A203" s="2" vm="857">
        <f ca="1"/>
        <v>45824</v>
      </c>
      <c r="B203" vm="1188">
        <f ca="1"/>
        <v>104764.16</v>
      </c>
      <c r="C203" vm="1189">
        <f ca="1"/>
        <v>108917.77</v>
      </c>
      <c r="D203" vm="1190">
        <f ca="1"/>
        <v>104558.39999999999</v>
      </c>
      <c r="E203" vm="1191">
        <f ca="1"/>
        <v>108839.31</v>
      </c>
      <c r="F203" s="4">
        <f t="shared" ref="F203:F266" ca="1" si="3">((E203-E204)/E204)</f>
        <v>3.8708652877763282E-2</v>
      </c>
      <c r="G203" s="4"/>
      <c r="H203" vm="1192">
        <f ca="1"/>
        <v>45748</v>
      </c>
      <c r="I203" vm="1193">
        <f ca="1"/>
        <v>1.0792999999999999</v>
      </c>
    </row>
    <row r="204" spans="1:9" x14ac:dyDescent="0.2">
      <c r="A204" s="2" vm="1194">
        <f ca="1"/>
        <v>45823</v>
      </c>
      <c r="B204" vm="1195">
        <f ca="1"/>
        <v>104914.08</v>
      </c>
      <c r="C204" vm="1196">
        <f ca="1"/>
        <v>106166.13</v>
      </c>
      <c r="D204" vm="1197">
        <f ca="1"/>
        <v>104666.39</v>
      </c>
      <c r="E204" vm="1198">
        <f ca="1"/>
        <v>104783.29</v>
      </c>
      <c r="F204" s="4">
        <f t="shared" ca="1" si="3"/>
        <v>-1.357626832081543E-3</v>
      </c>
      <c r="G204" s="4"/>
      <c r="H204" vm="1199">
        <f ca="1"/>
        <v>45747</v>
      </c>
      <c r="I204" vm="1200">
        <f ca="1"/>
        <v>1.0817000000000001</v>
      </c>
    </row>
    <row r="205" spans="1:9" x14ac:dyDescent="0.2">
      <c r="A205" s="2" vm="1201">
        <f ca="1"/>
        <v>45822</v>
      </c>
      <c r="B205" vm="1202">
        <f ca="1"/>
        <v>105479.72</v>
      </c>
      <c r="C205" vm="1203">
        <f ca="1"/>
        <v>106226.2</v>
      </c>
      <c r="D205" vm="1204">
        <f ca="1"/>
        <v>104405.87</v>
      </c>
      <c r="E205" vm="1205">
        <f ca="1"/>
        <v>104925.74</v>
      </c>
      <c r="F205" s="4">
        <f t="shared" ca="1" si="3"/>
        <v>-5.1576888608407786E-3</v>
      </c>
      <c r="G205" s="4"/>
      <c r="H205" vm="1206">
        <f ca="1"/>
        <v>45744</v>
      </c>
      <c r="I205" vm="1207">
        <f ca="1"/>
        <v>1.0827</v>
      </c>
    </row>
    <row r="206" spans="1:9" x14ac:dyDescent="0.2">
      <c r="A206" s="2" vm="863">
        <f ca="1"/>
        <v>45821</v>
      </c>
      <c r="B206" vm="1208">
        <f ca="1"/>
        <v>105955.83</v>
      </c>
      <c r="C206" vm="1209">
        <f ca="1"/>
        <v>106462.02</v>
      </c>
      <c r="D206" vm="1210">
        <f ca="1"/>
        <v>102811.38</v>
      </c>
      <c r="E206" vm="1211">
        <f ca="1"/>
        <v>105469.72</v>
      </c>
      <c r="F206" s="4">
        <f t="shared" ca="1" si="3"/>
        <v>-5.1271883227449059E-3</v>
      </c>
      <c r="G206" s="4"/>
      <c r="H206" vm="1212">
        <f ca="1"/>
        <v>45743</v>
      </c>
      <c r="I206" vm="1213">
        <f ca="1"/>
        <v>1.0801000000000001</v>
      </c>
    </row>
    <row r="207" spans="1:9" x14ac:dyDescent="0.2">
      <c r="A207" s="2" vm="869">
        <f ca="1"/>
        <v>45820</v>
      </c>
      <c r="B207" vm="1214">
        <f ca="1"/>
        <v>108940.63</v>
      </c>
      <c r="C207" vm="1215">
        <f ca="1"/>
        <v>109223.21</v>
      </c>
      <c r="D207" vm="1216">
        <f ca="1"/>
        <v>105816.46</v>
      </c>
      <c r="E207" vm="1217">
        <f ca="1"/>
        <v>106013.27</v>
      </c>
      <c r="F207" s="4">
        <f t="shared" ca="1" si="3"/>
        <v>-2.6485463803704503E-2</v>
      </c>
      <c r="G207" s="4"/>
      <c r="H207" vm="1218">
        <f ca="1"/>
        <v>45742</v>
      </c>
      <c r="I207" vm="1219">
        <f ca="1"/>
        <v>1.0751999999999999</v>
      </c>
    </row>
    <row r="208" spans="1:9" x14ac:dyDescent="0.2">
      <c r="A208" s="2" vm="875">
        <f ca="1"/>
        <v>45819</v>
      </c>
      <c r="B208" vm="1220">
        <f ca="1"/>
        <v>109962.46</v>
      </c>
      <c r="C208" vm="1221">
        <f ca="1"/>
        <v>110389.27</v>
      </c>
      <c r="D208" vm="1222">
        <f ca="1"/>
        <v>108445.05</v>
      </c>
      <c r="E208" vm="1223">
        <f ca="1"/>
        <v>108897.47</v>
      </c>
      <c r="F208" s="4">
        <f t="shared" ca="1" si="3"/>
        <v>-9.6939483073693669E-3</v>
      </c>
      <c r="G208" s="4"/>
      <c r="H208" vm="1224">
        <f ca="1"/>
        <v>45741</v>
      </c>
      <c r="I208" vm="1225">
        <f ca="1"/>
        <v>1.0790999999999999</v>
      </c>
    </row>
    <row r="209" spans="1:9" x14ac:dyDescent="0.2">
      <c r="A209" s="2" vm="881">
        <f ca="1"/>
        <v>45818</v>
      </c>
      <c r="B209" vm="1226">
        <f ca="1"/>
        <v>108785.56</v>
      </c>
      <c r="C209" vm="1227">
        <f ca="1"/>
        <v>110446.38</v>
      </c>
      <c r="D209" vm="1228">
        <f ca="1"/>
        <v>108403.17</v>
      </c>
      <c r="E209" vm="1229">
        <f ca="1"/>
        <v>109963.45</v>
      </c>
      <c r="F209" s="4">
        <f t="shared" ca="1" si="3"/>
        <v>1.0938682645542394E-2</v>
      </c>
      <c r="G209" s="4"/>
      <c r="H209" vm="1230">
        <f ca="1"/>
        <v>45740</v>
      </c>
      <c r="I209" vm="1231">
        <f ca="1"/>
        <v>1.08</v>
      </c>
    </row>
    <row r="210" spans="1:9" x14ac:dyDescent="0.2">
      <c r="A210" s="2" vm="887">
        <f ca="1"/>
        <v>45817</v>
      </c>
      <c r="B210" vm="1232">
        <f ca="1"/>
        <v>106211.36</v>
      </c>
      <c r="C210" vm="1233">
        <f ca="1"/>
        <v>108814.54</v>
      </c>
      <c r="D210" vm="1234">
        <f ca="1"/>
        <v>105401.07</v>
      </c>
      <c r="E210" vm="1235">
        <f ca="1"/>
        <v>108773.61</v>
      </c>
      <c r="F210" s="4">
        <f t="shared" ca="1" si="3"/>
        <v>2.4139013147655597E-2</v>
      </c>
      <c r="G210" s="4"/>
      <c r="H210" vm="1236">
        <f ca="1"/>
        <v>45737</v>
      </c>
      <c r="I210" vm="1237">
        <f ca="1"/>
        <v>1.0813999999999999</v>
      </c>
    </row>
    <row r="211" spans="1:9" x14ac:dyDescent="0.2">
      <c r="A211" s="2" vm="1238">
        <f ca="1"/>
        <v>45816</v>
      </c>
      <c r="B211" vm="1239">
        <f ca="1"/>
        <v>105909.05</v>
      </c>
      <c r="C211" vm="1240">
        <f ca="1"/>
        <v>106399.89</v>
      </c>
      <c r="D211" vm="1241">
        <f ca="1"/>
        <v>105069.87</v>
      </c>
      <c r="E211" vm="1242">
        <f ca="1"/>
        <v>106209.81</v>
      </c>
      <c r="F211" s="4">
        <f t="shared" ca="1" si="3"/>
        <v>2.8563658973460256E-3</v>
      </c>
      <c r="G211" s="4"/>
      <c r="H211" vm="1243">
        <f ca="1"/>
        <v>45736</v>
      </c>
      <c r="I211" vm="1244">
        <f ca="1"/>
        <v>1.0851</v>
      </c>
    </row>
    <row r="212" spans="1:9" x14ac:dyDescent="0.2">
      <c r="A212" s="2" vm="1245">
        <f ca="1"/>
        <v>45815</v>
      </c>
      <c r="B212" vm="1246">
        <f ca="1"/>
        <v>104572.3</v>
      </c>
      <c r="C212" vm="1247">
        <f ca="1"/>
        <v>105940.25</v>
      </c>
      <c r="D212" vm="1248">
        <f ca="1"/>
        <v>103998.87</v>
      </c>
      <c r="E212" vm="1249">
        <f ca="1"/>
        <v>105907.3</v>
      </c>
      <c r="F212" s="4">
        <f t="shared" ca="1" si="3"/>
        <v>1.2760960421371294E-2</v>
      </c>
      <c r="G212" s="4"/>
      <c r="H212" vm="1250">
        <f ca="1"/>
        <v>45735</v>
      </c>
      <c r="I212" vm="1251">
        <f ca="1"/>
        <v>1.0901000000000001</v>
      </c>
    </row>
    <row r="213" spans="1:9" x14ac:dyDescent="0.2">
      <c r="A213" s="2" vm="894">
        <f ca="1"/>
        <v>45814</v>
      </c>
      <c r="B213" vm="1252">
        <f ca="1"/>
        <v>100515.07</v>
      </c>
      <c r="C213" vm="1253">
        <f ca="1"/>
        <v>105390.77</v>
      </c>
      <c r="D213" vm="1254">
        <f ca="1"/>
        <v>100494.06</v>
      </c>
      <c r="E213" vm="1255">
        <f ca="1"/>
        <v>104572.85</v>
      </c>
      <c r="F213" s="4">
        <f t="shared" ca="1" si="3"/>
        <v>4.0399159346165205E-2</v>
      </c>
      <c r="G213" s="4"/>
      <c r="H213" vm="1256">
        <f ca="1"/>
        <v>45734</v>
      </c>
      <c r="I213" vm="1257">
        <f ca="1"/>
        <v>1.0943000000000001</v>
      </c>
    </row>
    <row r="214" spans="1:9" x14ac:dyDescent="0.2">
      <c r="A214" s="2" vm="901">
        <f ca="1"/>
        <v>45813</v>
      </c>
      <c r="B214" vm="1258">
        <f ca="1"/>
        <v>104625.87</v>
      </c>
      <c r="C214" vm="1259">
        <f ca="1"/>
        <v>105936.29</v>
      </c>
      <c r="D214" vm="1260">
        <f ca="1"/>
        <v>100432.39</v>
      </c>
      <c r="E214" vm="1261">
        <f ca="1"/>
        <v>100512.24</v>
      </c>
      <c r="F214" s="4">
        <f t="shared" ca="1" si="3"/>
        <v>-3.948983913557344E-2</v>
      </c>
      <c r="G214" s="4"/>
      <c r="H214" vm="1262">
        <f ca="1"/>
        <v>45733</v>
      </c>
      <c r="I214" vm="1263">
        <f ca="1"/>
        <v>1.0921000000000001</v>
      </c>
    </row>
    <row r="215" spans="1:9" x14ac:dyDescent="0.2">
      <c r="A215" s="2" vm="907">
        <f ca="1"/>
        <v>45812</v>
      </c>
      <c r="B215" vm="1264">
        <f ca="1"/>
        <v>105803.36</v>
      </c>
      <c r="C215" vm="1265">
        <f ca="1"/>
        <v>106009.8</v>
      </c>
      <c r="D215" vm="1266">
        <f ca="1"/>
        <v>104266.67</v>
      </c>
      <c r="E215" vm="1267">
        <f ca="1"/>
        <v>104644.64</v>
      </c>
      <c r="F215" s="4">
        <f t="shared" ca="1" si="3"/>
        <v>-1.0968276210399608E-2</v>
      </c>
      <c r="G215" s="4"/>
      <c r="H215" vm="1268">
        <f ca="1"/>
        <v>45730</v>
      </c>
      <c r="I215" vm="1269">
        <f ca="1"/>
        <v>1.0879000000000001</v>
      </c>
    </row>
    <row r="216" spans="1:9" x14ac:dyDescent="0.2">
      <c r="A216" s="2" vm="913">
        <f ca="1"/>
        <v>45811</v>
      </c>
      <c r="B216" vm="1270">
        <f ca="1"/>
        <v>104931.27</v>
      </c>
      <c r="C216" vm="1271">
        <f ca="1"/>
        <v>106824.94</v>
      </c>
      <c r="D216" vm="1272">
        <f ca="1"/>
        <v>104642.77</v>
      </c>
      <c r="E216" vm="1273">
        <f ca="1"/>
        <v>105805.14</v>
      </c>
      <c r="F216" s="4">
        <f t="shared" ca="1" si="3"/>
        <v>8.3965424925093509E-3</v>
      </c>
      <c r="G216" s="4"/>
      <c r="H216" vm="1274">
        <f ca="1"/>
        <v>45729</v>
      </c>
      <c r="I216" vm="1275">
        <f ca="1"/>
        <v>1.0851999999999999</v>
      </c>
    </row>
    <row r="217" spans="1:9" x14ac:dyDescent="0.2">
      <c r="A217" s="2" vm="919">
        <f ca="1"/>
        <v>45810</v>
      </c>
      <c r="B217" vm="1276">
        <f ca="1"/>
        <v>105009.71</v>
      </c>
      <c r="C217" vm="1277">
        <f ca="1"/>
        <v>105961.1</v>
      </c>
      <c r="D217" vm="1278">
        <f ca="1"/>
        <v>103739.87</v>
      </c>
      <c r="E217" vm="1279">
        <f ca="1"/>
        <v>104924.14</v>
      </c>
      <c r="F217" s="4">
        <f t="shared" ca="1" si="3"/>
        <v>-8.0935819580645258E-4</v>
      </c>
      <c r="G217" s="4"/>
      <c r="H217" vm="1280">
        <f ca="1"/>
        <v>45728</v>
      </c>
      <c r="I217" vm="1281">
        <f ca="1"/>
        <v>1.0886</v>
      </c>
    </row>
    <row r="218" spans="1:9" x14ac:dyDescent="0.2">
      <c r="A218" s="2" vm="1282">
        <f ca="1"/>
        <v>45809</v>
      </c>
      <c r="B218" vm="1283">
        <f ca="1"/>
        <v>104812.84</v>
      </c>
      <c r="C218" vm="1284">
        <f ca="1"/>
        <v>105327.51</v>
      </c>
      <c r="D218" vm="1285">
        <f ca="1"/>
        <v>103826</v>
      </c>
      <c r="E218" vm="1286">
        <f ca="1"/>
        <v>105009.13</v>
      </c>
      <c r="F218" s="4">
        <f t="shared" ca="1" si="3"/>
        <v>1.7191822370374848E-3</v>
      </c>
      <c r="G218" s="4"/>
      <c r="H218" vm="1287">
        <f ca="1"/>
        <v>45727</v>
      </c>
      <c r="I218" vm="1288">
        <f ca="1"/>
        <v>1.0918000000000001</v>
      </c>
    </row>
    <row r="219" spans="1:9" x14ac:dyDescent="0.2">
      <c r="A219" s="2" vm="1289">
        <f ca="1"/>
        <v>45808</v>
      </c>
      <c r="B219" vm="1290">
        <f ca="1"/>
        <v>104597.04</v>
      </c>
      <c r="C219" vm="1291">
        <f ca="1"/>
        <v>104893.79</v>
      </c>
      <c r="D219" vm="1292">
        <f ca="1"/>
        <v>103143.02</v>
      </c>
      <c r="E219" vm="1293">
        <f ca="1"/>
        <v>104828.91</v>
      </c>
      <c r="F219" s="4">
        <f t="shared" ca="1" si="3"/>
        <v>2.5356775104799626E-3</v>
      </c>
      <c r="G219" s="4"/>
      <c r="H219" vm="1294">
        <f ca="1"/>
        <v>45726</v>
      </c>
      <c r="I219" vm="1295">
        <f ca="1"/>
        <v>1.0831999999999999</v>
      </c>
    </row>
    <row r="220" spans="1:9" x14ac:dyDescent="0.2">
      <c r="A220" s="2" vm="925">
        <f ca="1"/>
        <v>45807</v>
      </c>
      <c r="B220" vm="1296">
        <f ca="1"/>
        <v>106183.53</v>
      </c>
      <c r="C220" vm="1297">
        <f ca="1"/>
        <v>106446.92</v>
      </c>
      <c r="D220" vm="1298">
        <f ca="1"/>
        <v>103717.19</v>
      </c>
      <c r="E220" vm="1299">
        <f ca="1"/>
        <v>104563.77</v>
      </c>
      <c r="F220" s="4">
        <f t="shared" ca="1" si="3"/>
        <v>-1.5159368236587466E-2</v>
      </c>
      <c r="G220" s="4"/>
      <c r="H220" vm="1300">
        <f ca="1"/>
        <v>45723</v>
      </c>
      <c r="I220" vm="1295">
        <f ca="1"/>
        <v>1.0831999999999999</v>
      </c>
    </row>
    <row r="221" spans="1:9" x14ac:dyDescent="0.2">
      <c r="A221" s="2" vm="931">
        <f ca="1"/>
        <v>45806</v>
      </c>
      <c r="B221" vm="1301">
        <f ca="1"/>
        <v>107343.54</v>
      </c>
      <c r="C221" vm="1302">
        <f ca="1"/>
        <v>108916.79</v>
      </c>
      <c r="D221" vm="1303">
        <f ca="1"/>
        <v>105658.88</v>
      </c>
      <c r="E221" vm="1304">
        <f ca="1"/>
        <v>106173.29</v>
      </c>
      <c r="F221" s="4">
        <f t="shared" ca="1" si="3"/>
        <v>-1.0761928232382331E-2</v>
      </c>
      <c r="G221" s="4"/>
      <c r="H221" vm="1305">
        <f ca="1"/>
        <v>45722</v>
      </c>
      <c r="I221" vm="1306">
        <f ca="1"/>
        <v>1.0783</v>
      </c>
    </row>
    <row r="222" spans="1:9" x14ac:dyDescent="0.2">
      <c r="A222" s="2" vm="938">
        <f ca="1"/>
        <v>45805</v>
      </c>
      <c r="B222" vm="1307">
        <f ca="1"/>
        <v>109618.12</v>
      </c>
      <c r="C222" vm="1308">
        <f ca="1"/>
        <v>109715.07</v>
      </c>
      <c r="D222" vm="1309">
        <f ca="1"/>
        <v>106823.41</v>
      </c>
      <c r="E222" vm="1310">
        <f ca="1"/>
        <v>107328.35</v>
      </c>
      <c r="F222" s="4">
        <f t="shared" ca="1" si="3"/>
        <v>-2.0927729252662494E-2</v>
      </c>
      <c r="G222" s="4"/>
      <c r="H222" vm="1311">
        <f ca="1"/>
        <v>45721</v>
      </c>
      <c r="I222" vm="1312">
        <f ca="1"/>
        <v>1.079</v>
      </c>
    </row>
    <row r="223" spans="1:9" x14ac:dyDescent="0.2">
      <c r="A223" s="2" vm="945">
        <f ca="1"/>
        <v>45804</v>
      </c>
      <c r="B223" vm="1313">
        <f ca="1"/>
        <v>109610.72</v>
      </c>
      <c r="C223" vm="1314">
        <f ca="1"/>
        <v>110747.94</v>
      </c>
      <c r="D223" vm="1315">
        <f ca="1"/>
        <v>107564.63</v>
      </c>
      <c r="E223" vm="1316">
        <f ca="1"/>
        <v>109622.5</v>
      </c>
      <c r="F223" s="4">
        <f t="shared" ca="1" si="3"/>
        <v>2.3358324916129765E-4</v>
      </c>
      <c r="G223" s="4"/>
      <c r="H223" vm="1317">
        <f ca="1"/>
        <v>45720</v>
      </c>
      <c r="I223" vm="1318">
        <f ca="1"/>
        <v>1.0624</v>
      </c>
    </row>
    <row r="224" spans="1:9" x14ac:dyDescent="0.2">
      <c r="A224" s="2" vm="951">
        <f ca="1"/>
        <v>45803</v>
      </c>
      <c r="B224" vm="1319">
        <f ca="1"/>
        <v>107706.34</v>
      </c>
      <c r="C224" vm="1320">
        <f ca="1"/>
        <v>110405.91</v>
      </c>
      <c r="D224" vm="1321">
        <f ca="1"/>
        <v>107215.79</v>
      </c>
      <c r="E224" vm="1322">
        <f ca="1"/>
        <v>109596.9</v>
      </c>
      <c r="F224" s="4">
        <f t="shared" ca="1" si="3"/>
        <v>1.7545449405252832E-2</v>
      </c>
      <c r="G224" s="4"/>
      <c r="H224" vm="1323">
        <f ca="1"/>
        <v>45719</v>
      </c>
      <c r="I224" vm="1324">
        <f ca="1"/>
        <v>1.0486</v>
      </c>
    </row>
    <row r="225" spans="1:9" x14ac:dyDescent="0.2">
      <c r="A225" s="2" vm="1325">
        <f ca="1"/>
        <v>45802</v>
      </c>
      <c r="B225" vm="1326">
        <f ca="1"/>
        <v>108902.76</v>
      </c>
      <c r="C225" vm="1327">
        <f ca="1"/>
        <v>108903.98</v>
      </c>
      <c r="D225" vm="1328">
        <f ca="1"/>
        <v>106676.59</v>
      </c>
      <c r="E225" vm="1329">
        <f ca="1"/>
        <v>107707.13</v>
      </c>
      <c r="F225" s="4">
        <f t="shared" ca="1" si="3"/>
        <v>-1.0982418782193073E-2</v>
      </c>
      <c r="G225" s="4"/>
      <c r="H225" vm="1330">
        <f ca="1"/>
        <v>45716</v>
      </c>
      <c r="I225" vm="1331">
        <f ca="1"/>
        <v>1.0375000000000001</v>
      </c>
    </row>
    <row r="226" spans="1:9" x14ac:dyDescent="0.2">
      <c r="A226" s="2" vm="1332">
        <f ca="1"/>
        <v>45801</v>
      </c>
      <c r="B226" vm="1333">
        <f ca="1"/>
        <v>108240.55</v>
      </c>
      <c r="C226" vm="1334">
        <f ca="1"/>
        <v>109490</v>
      </c>
      <c r="D226" vm="1335">
        <f ca="1"/>
        <v>106845.95</v>
      </c>
      <c r="E226" vm="1336">
        <f ca="1"/>
        <v>108903.15</v>
      </c>
      <c r="F226" s="4">
        <f t="shared" ca="1" si="3"/>
        <v>5.9766586911374703E-3</v>
      </c>
      <c r="G226" s="4"/>
      <c r="H226" vm="1337">
        <f ca="1"/>
        <v>45715</v>
      </c>
      <c r="I226" vm="1338">
        <f ca="1"/>
        <v>1.0397000000000001</v>
      </c>
    </row>
    <row r="227" spans="1:9" x14ac:dyDescent="0.2">
      <c r="A227" s="2" vm="957">
        <f ca="1"/>
        <v>45800</v>
      </c>
      <c r="B227" vm="1339">
        <f ca="1"/>
        <v>111071.46</v>
      </c>
      <c r="C227" vm="1340">
        <f ca="1"/>
        <v>111769.75</v>
      </c>
      <c r="D227" vm="1341">
        <f ca="1"/>
        <v>107367.03999999999</v>
      </c>
      <c r="E227" vm="1342">
        <f ca="1"/>
        <v>108256.14</v>
      </c>
      <c r="F227" s="4">
        <f t="shared" ca="1" si="3"/>
        <v>-2.5321301603496313E-2</v>
      </c>
      <c r="G227" s="4"/>
      <c r="H227" vm="1343">
        <f ca="1"/>
        <v>45714</v>
      </c>
      <c r="I227" vm="1344">
        <f ca="1"/>
        <v>1.0483</v>
      </c>
    </row>
    <row r="228" spans="1:9" x14ac:dyDescent="0.2">
      <c r="A228" s="2" vm="963">
        <f ca="1"/>
        <v>45799</v>
      </c>
      <c r="B228" vm="1345">
        <f ca="1"/>
        <v>108214.6</v>
      </c>
      <c r="C228" vm="1346">
        <f ca="1"/>
        <v>111965.62</v>
      </c>
      <c r="D228" vm="1347">
        <f ca="1"/>
        <v>108003.37</v>
      </c>
      <c r="E228" vm="1348">
        <f ca="1"/>
        <v>111068.54</v>
      </c>
      <c r="F228" s="4">
        <f t="shared" ca="1" si="3"/>
        <v>2.577256272145546E-2</v>
      </c>
      <c r="G228" s="4"/>
      <c r="H228" vm="1349">
        <f ca="1"/>
        <v>45713</v>
      </c>
      <c r="I228" vm="1350">
        <f ca="1"/>
        <v>1.0512999999999999</v>
      </c>
    </row>
    <row r="229" spans="1:9" x14ac:dyDescent="0.2">
      <c r="A229" s="2" vm="969">
        <f ca="1"/>
        <v>45798</v>
      </c>
      <c r="B229" vm="1351">
        <f ca="1"/>
        <v>106941.37</v>
      </c>
      <c r="C229" vm="1352">
        <f ca="1"/>
        <v>109760.08</v>
      </c>
      <c r="D229" vm="1353">
        <f ca="1"/>
        <v>105984.98</v>
      </c>
      <c r="E229" vm="1354">
        <f ca="1"/>
        <v>108277.94</v>
      </c>
      <c r="F229" s="4">
        <f t="shared" ca="1" si="3"/>
        <v>1.2467671342701915E-2</v>
      </c>
      <c r="G229" s="4"/>
      <c r="H229" vm="1355">
        <f ca="1"/>
        <v>45712</v>
      </c>
      <c r="I229" vm="1356">
        <f ca="1"/>
        <v>1.0466</v>
      </c>
    </row>
    <row r="230" spans="1:9" x14ac:dyDescent="0.2">
      <c r="A230" s="2" vm="975">
        <f ca="1"/>
        <v>45797</v>
      </c>
      <c r="B230" vm="1357">
        <f ca="1"/>
        <v>105505.42</v>
      </c>
      <c r="C230" vm="1358">
        <f ca="1"/>
        <v>107299.02</v>
      </c>
      <c r="D230" vm="1359">
        <f ca="1"/>
        <v>104229.61</v>
      </c>
      <c r="E230" vm="1360">
        <f ca="1"/>
        <v>106944.59</v>
      </c>
      <c r="F230" s="4">
        <f t="shared" ca="1" si="3"/>
        <v>1.4024973488945706E-2</v>
      </c>
      <c r="G230" s="4"/>
      <c r="H230" vm="1361">
        <f ca="1"/>
        <v>45709</v>
      </c>
      <c r="I230" vm="1362">
        <f ca="1"/>
        <v>1.0458000000000001</v>
      </c>
    </row>
    <row r="231" spans="1:9" x14ac:dyDescent="0.2">
      <c r="A231" s="2" vm="982">
        <f ca="1"/>
        <v>45796</v>
      </c>
      <c r="B231" vm="1363">
        <f ca="1"/>
        <v>104138.29</v>
      </c>
      <c r="C231" vm="1364">
        <f ca="1"/>
        <v>107060.46</v>
      </c>
      <c r="D231" vm="1365">
        <f ca="1"/>
        <v>102114.4</v>
      </c>
      <c r="E231" vm="1366">
        <f ca="1"/>
        <v>105465.44</v>
      </c>
      <c r="F231" s="4">
        <f t="shared" ca="1" si="3"/>
        <v>1.2988948943226435E-2</v>
      </c>
      <c r="G231" s="4"/>
      <c r="H231" vm="1367">
        <f ca="1"/>
        <v>45708</v>
      </c>
      <c r="I231" vm="1368">
        <f ca="1"/>
        <v>1.05</v>
      </c>
    </row>
    <row r="232" spans="1:9" x14ac:dyDescent="0.2">
      <c r="A232" s="2" vm="1369">
        <f ca="1"/>
        <v>45795</v>
      </c>
      <c r="B232" vm="1370">
        <f ca="1"/>
        <v>103427.81</v>
      </c>
      <c r="C232" vm="1371">
        <f ca="1"/>
        <v>105939.95</v>
      </c>
      <c r="D232" vm="1372">
        <f ca="1"/>
        <v>102950.81</v>
      </c>
      <c r="E232" vm="1373">
        <f ca="1"/>
        <v>104113.12</v>
      </c>
      <c r="F232" s="4">
        <f t="shared" ca="1" si="3"/>
        <v>6.6496250726851636E-3</v>
      </c>
      <c r="G232" s="4"/>
      <c r="H232" vm="1374">
        <f ca="1"/>
        <v>45707</v>
      </c>
      <c r="I232" vm="1375">
        <f ca="1"/>
        <v>1.0421</v>
      </c>
    </row>
    <row r="233" spans="1:9" x14ac:dyDescent="0.2">
      <c r="A233" s="2" vm="1376">
        <f ca="1"/>
        <v>45794</v>
      </c>
      <c r="B233" vm="1377">
        <f ca="1"/>
        <v>103711.98</v>
      </c>
      <c r="C233" vm="1378">
        <f ca="1"/>
        <v>103811.31</v>
      </c>
      <c r="D233" vm="1379">
        <f ca="1"/>
        <v>102662.52</v>
      </c>
      <c r="E233" vm="1380">
        <f ca="1"/>
        <v>103425.38</v>
      </c>
      <c r="F233" s="4">
        <f t="shared" ca="1" si="3"/>
        <v>-3.0390208659767364E-3</v>
      </c>
      <c r="G233" s="4"/>
      <c r="H233" vm="1381">
        <f ca="1"/>
        <v>45706</v>
      </c>
      <c r="I233" vm="1382">
        <f ca="1"/>
        <v>1.0445</v>
      </c>
    </row>
    <row r="234" spans="1:9" x14ac:dyDescent="0.2">
      <c r="A234" s="2" vm="989">
        <f ca="1"/>
        <v>45793</v>
      </c>
      <c r="B234" vm="1383">
        <f ca="1"/>
        <v>103455.34</v>
      </c>
      <c r="C234" vm="1384">
        <f ca="1"/>
        <v>104534.86</v>
      </c>
      <c r="D234" vm="1385">
        <f ca="1"/>
        <v>102744.99</v>
      </c>
      <c r="E234" vm="1386">
        <f ca="1"/>
        <v>103740.65</v>
      </c>
      <c r="F234" s="4">
        <f t="shared" ca="1" si="3"/>
        <v>2.6777533354724594E-3</v>
      </c>
      <c r="G234" s="4"/>
      <c r="H234" vm="1387">
        <f ca="1"/>
        <v>45705</v>
      </c>
      <c r="I234" vm="1388">
        <f ca="1"/>
        <v>1.0482</v>
      </c>
    </row>
    <row r="235" spans="1:9" x14ac:dyDescent="0.2">
      <c r="A235" s="2" vm="995">
        <f ca="1"/>
        <v>45792</v>
      </c>
      <c r="B235" vm="1389">
        <f ca="1"/>
        <v>103575.97</v>
      </c>
      <c r="C235" vm="1390">
        <f ca="1"/>
        <v>104160.67</v>
      </c>
      <c r="D235" vm="1391">
        <f ca="1"/>
        <v>101450.33</v>
      </c>
      <c r="E235" vm="1392">
        <f ca="1"/>
        <v>103463.6</v>
      </c>
      <c r="F235" s="4">
        <f t="shared" ca="1" si="3"/>
        <v>-1.0697624123334373E-3</v>
      </c>
      <c r="G235" s="4"/>
      <c r="H235" vm="1393">
        <f ca="1"/>
        <v>45702</v>
      </c>
      <c r="I235" vm="1394">
        <f ca="1"/>
        <v>1.0490999999999999</v>
      </c>
    </row>
    <row r="236" spans="1:9" x14ac:dyDescent="0.2">
      <c r="A236" s="2" vm="1001">
        <f ca="1"/>
        <v>45791</v>
      </c>
      <c r="B236" vm="1395">
        <f ca="1"/>
        <v>104591.95</v>
      </c>
      <c r="C236" vm="1396">
        <f ca="1"/>
        <v>104628.7</v>
      </c>
      <c r="D236" vm="1397">
        <f ca="1"/>
        <v>102646.72</v>
      </c>
      <c r="E236" vm="1398">
        <f ca="1"/>
        <v>103574.39999999999</v>
      </c>
      <c r="F236" s="4">
        <f t="shared" ca="1" si="3"/>
        <v>-9.9173258254536614E-3</v>
      </c>
      <c r="G236" s="4"/>
      <c r="H236" vm="1399">
        <f ca="1"/>
        <v>45701</v>
      </c>
      <c r="I236" vm="1400">
        <f ca="1"/>
        <v>1.0464</v>
      </c>
    </row>
    <row r="237" spans="1:9" x14ac:dyDescent="0.2">
      <c r="A237" s="2" vm="1007">
        <f ca="1"/>
        <v>45790</v>
      </c>
      <c r="B237" vm="1401">
        <f ca="1"/>
        <v>102696.35</v>
      </c>
      <c r="C237" vm="1402">
        <f ca="1"/>
        <v>104995.29</v>
      </c>
      <c r="D237" vm="1403">
        <f ca="1"/>
        <v>101527.28</v>
      </c>
      <c r="E237" vm="1404">
        <f ca="1"/>
        <v>104611.87</v>
      </c>
      <c r="F237" s="4">
        <f t="shared" ca="1" si="3"/>
        <v>1.8760994139477835E-2</v>
      </c>
      <c r="G237" s="4"/>
      <c r="H237" vm="1405">
        <f ca="1"/>
        <v>45700</v>
      </c>
      <c r="I237" vm="1406">
        <f ca="1"/>
        <v>1.0382</v>
      </c>
    </row>
    <row r="238" spans="1:9" x14ac:dyDescent="0.2">
      <c r="A238" s="2" vm="1013">
        <f ca="1"/>
        <v>45789</v>
      </c>
      <c r="B238" vm="1407">
        <f ca="1"/>
        <v>104295.7</v>
      </c>
      <c r="C238" vm="1408">
        <f ca="1"/>
        <v>105716.07</v>
      </c>
      <c r="D238" vm="1409">
        <f ca="1"/>
        <v>100819.68</v>
      </c>
      <c r="E238" vm="1410">
        <f ca="1"/>
        <v>102685.39</v>
      </c>
      <c r="F238" s="4">
        <f t="shared" ca="1" si="3"/>
        <v>-1.5494316618931657E-2</v>
      </c>
      <c r="G238" s="4"/>
      <c r="H238" vm="1411">
        <f ca="1"/>
        <v>45699</v>
      </c>
      <c r="I238" vm="1412">
        <f ca="1"/>
        <v>1.036</v>
      </c>
    </row>
    <row r="239" spans="1:9" x14ac:dyDescent="0.2">
      <c r="A239" s="2" vm="1413">
        <f ca="1"/>
        <v>45788</v>
      </c>
      <c r="B239" vm="1414">
        <f ca="1"/>
        <v>103185.56</v>
      </c>
      <c r="C239" vm="1415">
        <f ca="1"/>
        <v>104948.8</v>
      </c>
      <c r="D239" vm="1416">
        <f ca="1"/>
        <v>103169.84</v>
      </c>
      <c r="E239" vm="1417">
        <f ca="1"/>
        <v>104301.47</v>
      </c>
      <c r="F239" s="4">
        <f t="shared" ca="1" si="3"/>
        <v>1.0922950922950933E-2</v>
      </c>
      <c r="G239" s="4"/>
      <c r="H239" vm="1418">
        <f ca="1"/>
        <v>45698</v>
      </c>
      <c r="I239" vm="1419">
        <f ca="1"/>
        <v>1.0306</v>
      </c>
    </row>
    <row r="240" spans="1:9" x14ac:dyDescent="0.2">
      <c r="A240" s="2" vm="1420">
        <f ca="1"/>
        <v>45787</v>
      </c>
      <c r="B240" vm="1421">
        <f ca="1"/>
        <v>103190.44</v>
      </c>
      <c r="C240" vm="1422">
        <f ca="1"/>
        <v>104056.92</v>
      </c>
      <c r="D240" vm="1423">
        <f ca="1"/>
        <v>102764.92</v>
      </c>
      <c r="E240" vm="1424">
        <f ca="1"/>
        <v>103174.5</v>
      </c>
      <c r="F240" s="4">
        <f t="shared" ca="1" si="3"/>
        <v>-1.5505303298268735E-4</v>
      </c>
      <c r="G240" s="4"/>
      <c r="H240" vm="1425">
        <f ca="1"/>
        <v>45695</v>
      </c>
      <c r="I240" vm="1426">
        <f ca="1"/>
        <v>1.0327</v>
      </c>
    </row>
    <row r="241" spans="1:9" x14ac:dyDescent="0.2">
      <c r="A241" s="2" vm="1019">
        <f ca="1"/>
        <v>45786</v>
      </c>
      <c r="B241" vm="1427">
        <f ca="1"/>
        <v>102614.97</v>
      </c>
      <c r="C241" vm="1428">
        <f ca="1"/>
        <v>104324.39</v>
      </c>
      <c r="D241" vm="1429">
        <f ca="1"/>
        <v>102161.79</v>
      </c>
      <c r="E241" vm="1430">
        <f ca="1"/>
        <v>103190.5</v>
      </c>
      <c r="F241" s="4">
        <f t="shared" ca="1" si="3"/>
        <v>5.4418705123031787E-3</v>
      </c>
      <c r="G241" s="4"/>
      <c r="H241" vm="1431">
        <f ca="1"/>
        <v>45694</v>
      </c>
      <c r="I241" vm="1432">
        <f ca="1"/>
        <v>1.0381</v>
      </c>
    </row>
    <row r="242" spans="1:9" x14ac:dyDescent="0.2">
      <c r="A242" s="2" vm="1026">
        <f ca="1"/>
        <v>45785</v>
      </c>
      <c r="B242" vm="1433">
        <f ca="1"/>
        <v>96768.89</v>
      </c>
      <c r="C242" vm="1434">
        <f ca="1"/>
        <v>102815.98</v>
      </c>
      <c r="D242" vm="1435">
        <f ca="1"/>
        <v>96682.72</v>
      </c>
      <c r="E242" vm="1436">
        <f ca="1"/>
        <v>102631.99</v>
      </c>
      <c r="F242" s="4">
        <f t="shared" ca="1" si="3"/>
        <v>6.0579480794252599E-2</v>
      </c>
      <c r="G242" s="4"/>
      <c r="H242" vm="1437">
        <f ca="1"/>
        <v>45693</v>
      </c>
      <c r="I242" vm="1438">
        <f ca="1"/>
        <v>1.0402</v>
      </c>
    </row>
    <row r="243" spans="1:9" x14ac:dyDescent="0.2">
      <c r="A243" s="2" vm="1033">
        <f ca="1"/>
        <v>45784</v>
      </c>
      <c r="B243" vm="1439">
        <f ca="1"/>
        <v>94717.29</v>
      </c>
      <c r="C243" vm="1440">
        <f ca="1"/>
        <v>97731.53</v>
      </c>
      <c r="D243" vm="1441">
        <f ca="1"/>
        <v>94501.22</v>
      </c>
      <c r="E243" vm="1442">
        <f ca="1"/>
        <v>96769.73</v>
      </c>
      <c r="F243" s="4">
        <f t="shared" ca="1" si="3"/>
        <v>2.1759299783029994E-2</v>
      </c>
      <c r="G243" s="4"/>
      <c r="H243" vm="1443">
        <f ca="1"/>
        <v>45692</v>
      </c>
      <c r="I243" vm="1444">
        <f ca="1"/>
        <v>1.0377000000000001</v>
      </c>
    </row>
    <row r="244" spans="1:9" x14ac:dyDescent="0.2">
      <c r="A244" s="2" vm="1039">
        <f ca="1"/>
        <v>45783</v>
      </c>
      <c r="B244" vm="1445">
        <f ca="1"/>
        <v>94276.2</v>
      </c>
      <c r="C244" vm="1446">
        <f ca="1"/>
        <v>95219.82</v>
      </c>
      <c r="D244" vm="1447">
        <f ca="1"/>
        <v>93383.39</v>
      </c>
      <c r="E244" vm="1448">
        <f ca="1"/>
        <v>94708.93</v>
      </c>
      <c r="F244" s="4">
        <f t="shared" ca="1" si="3"/>
        <v>4.8154449018910934E-3</v>
      </c>
      <c r="G244" s="4"/>
      <c r="H244" vm="1449">
        <f ca="1"/>
        <v>45691</v>
      </c>
      <c r="I244" vm="1450">
        <f ca="1"/>
        <v>1.0344</v>
      </c>
    </row>
    <row r="245" spans="1:9" x14ac:dyDescent="0.2">
      <c r="A245" s="2" vm="1045">
        <f ca="1"/>
        <v>45782</v>
      </c>
      <c r="B245" vm="1451">
        <f ca="1"/>
        <v>95756.56</v>
      </c>
      <c r="C245" vm="1452">
        <f ca="1"/>
        <v>95781.2</v>
      </c>
      <c r="D245" vm="1453">
        <f ca="1"/>
        <v>93548.42</v>
      </c>
      <c r="E245" vm="1454">
        <f ca="1"/>
        <v>94255.05</v>
      </c>
      <c r="F245" s="4">
        <f t="shared" ca="1" si="3"/>
        <v>-1.5409041413907597E-2</v>
      </c>
      <c r="G245" s="4"/>
      <c r="H245" vm="1455">
        <f ca="1"/>
        <v>45688</v>
      </c>
      <c r="I245" vm="1456">
        <f ca="1"/>
        <v>1.0362</v>
      </c>
    </row>
    <row r="246" spans="1:9" x14ac:dyDescent="0.2">
      <c r="A246" s="2" vm="1457">
        <f ca="1"/>
        <v>45781</v>
      </c>
      <c r="B246" vm="1458">
        <f ca="1"/>
        <v>96369.68</v>
      </c>
      <c r="C246" vm="1459">
        <f ca="1"/>
        <v>96457.04</v>
      </c>
      <c r="D246" vm="1460">
        <f ca="1"/>
        <v>95220.28</v>
      </c>
      <c r="E246" vm="1461">
        <f ca="1"/>
        <v>95730.16</v>
      </c>
      <c r="F246" s="4">
        <f t="shared" ca="1" si="3"/>
        <v>-6.4540421674605325E-3</v>
      </c>
      <c r="G246" s="4"/>
      <c r="H246" vm="1462">
        <f ca="1"/>
        <v>45687</v>
      </c>
      <c r="I246" vm="1463">
        <f ca="1"/>
        <v>1.0389999999999999</v>
      </c>
    </row>
    <row r="247" spans="1:9" x14ac:dyDescent="0.2">
      <c r="A247" s="2" vm="1464">
        <f ca="1"/>
        <v>45780</v>
      </c>
      <c r="B247" vm="1465">
        <f ca="1"/>
        <v>97069.79</v>
      </c>
      <c r="C247" vm="1466">
        <f ca="1"/>
        <v>97079.02</v>
      </c>
      <c r="D247" vm="1467">
        <f ca="1"/>
        <v>95905.26</v>
      </c>
      <c r="E247" vm="1468">
        <f ca="1"/>
        <v>96352.02</v>
      </c>
      <c r="F247" s="4">
        <f t="shared" ca="1" si="3"/>
        <v>-7.350500435273047E-3</v>
      </c>
      <c r="G247" s="4"/>
      <c r="H247" vm="1469">
        <f ca="1"/>
        <v>45686</v>
      </c>
      <c r="I247" vm="1470">
        <f ca="1"/>
        <v>1.042</v>
      </c>
    </row>
    <row r="248" spans="1:9" x14ac:dyDescent="0.2">
      <c r="A248" s="2" vm="1051">
        <f ca="1"/>
        <v>45779</v>
      </c>
      <c r="B248" vm="1471">
        <f ca="1"/>
        <v>96458.22</v>
      </c>
      <c r="C248" vm="1472">
        <f ca="1"/>
        <v>97913.35</v>
      </c>
      <c r="D248" vm="1473">
        <f ca="1"/>
        <v>96233.88</v>
      </c>
      <c r="E248" vm="1474">
        <f ca="1"/>
        <v>97065.5</v>
      </c>
      <c r="F248" s="4">
        <f t="shared" ca="1" si="3"/>
        <v>6.0694494771554716E-3</v>
      </c>
      <c r="G248" s="4"/>
      <c r="H248" vm="1475">
        <f ca="1"/>
        <v>45685</v>
      </c>
      <c r="I248" vm="1476">
        <f ca="1"/>
        <v>1.0427999999999999</v>
      </c>
    </row>
    <row r="249" spans="1:9" x14ac:dyDescent="0.2">
      <c r="A249" s="2" vm="1057">
        <f ca="1"/>
        <v>45778</v>
      </c>
      <c r="B249" vm="1477">
        <f ca="1"/>
        <v>94602</v>
      </c>
      <c r="C249" vm="1478">
        <f ca="1"/>
        <v>97473.88</v>
      </c>
      <c r="D249" vm="1479">
        <f ca="1"/>
        <v>94041.600000000006</v>
      </c>
      <c r="E249" vm="1480">
        <f ca="1"/>
        <v>96479.92</v>
      </c>
      <c r="F249" s="4">
        <f t="shared" ca="1" si="3"/>
        <v>2.0040190547218031E-2</v>
      </c>
      <c r="G249" s="4"/>
      <c r="H249" vm="1481">
        <f ca="1"/>
        <v>45684</v>
      </c>
      <c r="I249" vm="1394">
        <f ca="1"/>
        <v>1.0490999999999999</v>
      </c>
    </row>
    <row r="250" spans="1:9" x14ac:dyDescent="0.2">
      <c r="A250" s="2" vm="1063">
        <f ca="1"/>
        <v>45777</v>
      </c>
      <c r="B250" vm="1482">
        <f ca="1"/>
        <v>94866.19</v>
      </c>
      <c r="C250" vm="1483">
        <f ca="1"/>
        <v>95242.38</v>
      </c>
      <c r="D250" vm="1484">
        <f ca="1"/>
        <v>92956.56</v>
      </c>
      <c r="E250" vm="1485">
        <f ca="1"/>
        <v>94584.43</v>
      </c>
      <c r="F250" s="4">
        <f t="shared" ca="1" si="3"/>
        <v>-3.108683888954709E-3</v>
      </c>
      <c r="G250" s="4"/>
      <c r="H250" vm="1486">
        <f ca="1"/>
        <v>45681</v>
      </c>
      <c r="I250" vm="1487">
        <f ca="1"/>
        <v>1.0492999999999999</v>
      </c>
    </row>
    <row r="251" spans="1:9" x14ac:dyDescent="0.2">
      <c r="A251" s="2" vm="1070">
        <f ca="1"/>
        <v>45776</v>
      </c>
      <c r="B251" vm="1488">
        <f ca="1"/>
        <v>94506.93</v>
      </c>
      <c r="C251" vm="1489">
        <f ca="1"/>
        <v>95481.41</v>
      </c>
      <c r="D251" vm="1490">
        <f ca="1"/>
        <v>94259.01</v>
      </c>
      <c r="E251" vm="1491">
        <f ca="1"/>
        <v>94879.38</v>
      </c>
      <c r="F251" s="4">
        <f t="shared" ca="1" si="3"/>
        <v>3.854623802809912E-3</v>
      </c>
      <c r="G251" s="4"/>
      <c r="H251" vm="1492">
        <f ca="1"/>
        <v>45680</v>
      </c>
      <c r="I251" vm="1493">
        <f ca="1"/>
        <v>1.0415000000000001</v>
      </c>
    </row>
    <row r="252" spans="1:9" x14ac:dyDescent="0.2">
      <c r="A252" s="2" vm="1077">
        <f ca="1"/>
        <v>45775</v>
      </c>
      <c r="B252" vm="1494">
        <f ca="1"/>
        <v>94312.53</v>
      </c>
      <c r="C252" vm="1495">
        <f ca="1"/>
        <v>95608.25</v>
      </c>
      <c r="D252" vm="1496">
        <f ca="1"/>
        <v>92877.47</v>
      </c>
      <c r="E252" vm="1497">
        <f ca="1"/>
        <v>94515.06</v>
      </c>
      <c r="F252" s="4">
        <f t="shared" ca="1" si="3"/>
        <v>2.1508349767224333E-3</v>
      </c>
      <c r="G252" s="4"/>
      <c r="H252" vm="1498">
        <f ca="1"/>
        <v>45679</v>
      </c>
      <c r="I252" vm="1499">
        <f ca="1"/>
        <v>1.0407</v>
      </c>
    </row>
    <row r="253" spans="1:9" x14ac:dyDescent="0.2">
      <c r="A253" s="2" vm="1500">
        <f ca="1"/>
        <v>45774</v>
      </c>
      <c r="B253" vm="1501">
        <f ca="1"/>
        <v>94158.54</v>
      </c>
      <c r="C253" vm="1502">
        <f ca="1"/>
        <v>95357.88</v>
      </c>
      <c r="D253" vm="1503">
        <f ca="1"/>
        <v>93681.02</v>
      </c>
      <c r="E253" vm="1504">
        <f ca="1"/>
        <v>94312.21</v>
      </c>
      <c r="F253" s="4">
        <f t="shared" ca="1" si="3"/>
        <v>1.7682159596387596E-3</v>
      </c>
      <c r="G253" s="4"/>
      <c r="H253" vm="1505">
        <f ca="1"/>
        <v>45678</v>
      </c>
      <c r="I253" vm="1506">
        <f ca="1"/>
        <v>1.0428999999999999</v>
      </c>
    </row>
    <row r="254" spans="1:9" x14ac:dyDescent="0.2">
      <c r="A254" s="2" vm="1507">
        <f ca="1"/>
        <v>45773</v>
      </c>
      <c r="B254" vm="1508">
        <f ca="1"/>
        <v>94959.15</v>
      </c>
      <c r="C254" vm="1509">
        <f ca="1"/>
        <v>95244.64</v>
      </c>
      <c r="D254" vm="1510">
        <f ca="1"/>
        <v>93946.18</v>
      </c>
      <c r="E254" vm="1511">
        <f ca="1"/>
        <v>94145.74</v>
      </c>
      <c r="F254" s="4">
        <f t="shared" ca="1" si="3"/>
        <v>-8.6365719407550945E-3</v>
      </c>
      <c r="G254" s="4"/>
      <c r="H254" vm="1512">
        <f ca="1"/>
        <v>45677</v>
      </c>
      <c r="I254" vm="1513">
        <f ca="1"/>
        <v>1.0414000000000001</v>
      </c>
    </row>
    <row r="255" spans="1:9" x14ac:dyDescent="0.2">
      <c r="A255" s="2" vm="1083">
        <f ca="1"/>
        <v>45772</v>
      </c>
      <c r="B255" vm="1514">
        <f ca="1"/>
        <v>93494.76</v>
      </c>
      <c r="C255" vm="1515">
        <f ca="1"/>
        <v>95829.99</v>
      </c>
      <c r="D255" vm="1516">
        <f ca="1"/>
        <v>92896.62</v>
      </c>
      <c r="E255" vm="1517">
        <f ca="1"/>
        <v>94965.92</v>
      </c>
      <c r="F255" s="4">
        <f t="shared" ca="1" si="3"/>
        <v>1.5737929424947023E-2</v>
      </c>
      <c r="G255" s="4"/>
      <c r="H255" vm="1518">
        <f ca="1"/>
        <v>45674</v>
      </c>
      <c r="I255" vm="1519">
        <f ca="1"/>
        <v>1.0270999999999999</v>
      </c>
    </row>
    <row r="256" spans="1:9" x14ac:dyDescent="0.2">
      <c r="A256" s="2" vm="1088">
        <f ca="1"/>
        <v>45771</v>
      </c>
      <c r="B256" vm="1520">
        <f ca="1"/>
        <v>93657.36</v>
      </c>
      <c r="C256" vm="1521">
        <f ca="1"/>
        <v>93907.63</v>
      </c>
      <c r="D256" vm="1522">
        <f ca="1"/>
        <v>91702.39</v>
      </c>
      <c r="E256" vm="1523">
        <f ca="1"/>
        <v>93494.51</v>
      </c>
      <c r="F256" s="4">
        <f t="shared" ca="1" si="3"/>
        <v>-1.9952727023914798E-3</v>
      </c>
      <c r="G256" s="4"/>
      <c r="H256" vm="1524">
        <f ca="1"/>
        <v>45673</v>
      </c>
      <c r="I256" vm="1525">
        <f ca="1"/>
        <v>1.0298</v>
      </c>
    </row>
    <row r="257" spans="1:9" x14ac:dyDescent="0.2">
      <c r="A257" s="2" vm="1094">
        <f ca="1"/>
        <v>45770</v>
      </c>
      <c r="B257" vm="1526">
        <f ca="1"/>
        <v>91157.99</v>
      </c>
      <c r="C257" vm="1527">
        <f ca="1"/>
        <v>94489.919999999998</v>
      </c>
      <c r="D257" vm="1528">
        <f ca="1"/>
        <v>91086.29</v>
      </c>
      <c r="E257" vm="1529">
        <f ca="1"/>
        <v>93681.43</v>
      </c>
      <c r="F257" s="4">
        <f t="shared" ca="1" si="3"/>
        <v>2.7673256231956496E-2</v>
      </c>
      <c r="G257" s="4"/>
      <c r="H257" vm="1530">
        <f ca="1"/>
        <v>45672</v>
      </c>
      <c r="I257" vm="1531">
        <f ca="1"/>
        <v>1.0288999999999999</v>
      </c>
    </row>
    <row r="258" spans="1:9" x14ac:dyDescent="0.2">
      <c r="A258" s="2" vm="1100">
        <f ca="1"/>
        <v>45769</v>
      </c>
      <c r="B258" vm="1532">
        <f ca="1"/>
        <v>87368.62</v>
      </c>
      <c r="C258" vm="1533">
        <f ca="1"/>
        <v>91720.960000000006</v>
      </c>
      <c r="D258" vm="1534">
        <f ca="1"/>
        <v>86965.34</v>
      </c>
      <c r="E258" vm="1535">
        <f ca="1"/>
        <v>91158.77</v>
      </c>
      <c r="F258" s="4">
        <f t="shared" ca="1" si="3"/>
        <v>4.379175409418417E-2</v>
      </c>
      <c r="G258" s="4"/>
      <c r="H258" vm="1536">
        <f ca="1"/>
        <v>45671</v>
      </c>
      <c r="I258" vm="1537">
        <f ca="1"/>
        <v>1.0306999999999999</v>
      </c>
    </row>
    <row r="259" spans="1:9" x14ac:dyDescent="0.2">
      <c r="A259" s="2" vm="1105">
        <f ca="1"/>
        <v>45768</v>
      </c>
      <c r="B259" vm="1538">
        <f ca="1"/>
        <v>85136.12</v>
      </c>
      <c r="C259" vm="1539">
        <f ca="1"/>
        <v>88485.14</v>
      </c>
      <c r="D259" vm="1540">
        <f ca="1"/>
        <v>84668.87</v>
      </c>
      <c r="E259" vm="1541">
        <f ca="1"/>
        <v>87334.25</v>
      </c>
      <c r="F259" s="4">
        <f t="shared" ca="1" si="3"/>
        <v>2.6456561832859146E-2</v>
      </c>
      <c r="G259" s="4"/>
      <c r="H259" vm="1542">
        <f ca="1"/>
        <v>45670</v>
      </c>
      <c r="I259" vm="1543">
        <f ca="1"/>
        <v>1.0244</v>
      </c>
    </row>
    <row r="260" spans="1:9" x14ac:dyDescent="0.2">
      <c r="A260" s="2" vm="1544">
        <f ca="1"/>
        <v>45767</v>
      </c>
      <c r="B260" vm="1545">
        <f ca="1"/>
        <v>85170.18</v>
      </c>
      <c r="C260" vm="1546">
        <f ca="1"/>
        <v>85364.26</v>
      </c>
      <c r="D260" vm="1547">
        <f ca="1"/>
        <v>83975.13</v>
      </c>
      <c r="E260" vm="1548">
        <f ca="1"/>
        <v>85083.24</v>
      </c>
      <c r="F260" s="4">
        <f t="shared" ca="1" si="3"/>
        <v>-1.3735871963785893E-3</v>
      </c>
      <c r="G260" s="4"/>
      <c r="H260" vm="1549">
        <f ca="1"/>
        <v>45667</v>
      </c>
      <c r="I260" vm="1543">
        <f ca="1"/>
        <v>1.0244</v>
      </c>
    </row>
    <row r="261" spans="1:9" x14ac:dyDescent="0.2">
      <c r="A261" s="2" vm="1550">
        <f ca="1"/>
        <v>45766</v>
      </c>
      <c r="B261" vm="1551">
        <f ca="1"/>
        <v>84486.61</v>
      </c>
      <c r="C261" vm="1552">
        <f ca="1"/>
        <v>85589.55</v>
      </c>
      <c r="D261" vm="1553">
        <f ca="1"/>
        <v>84356.08</v>
      </c>
      <c r="E261" vm="1554">
        <f ca="1"/>
        <v>85200.27</v>
      </c>
      <c r="F261" s="4">
        <f t="shared" ca="1" si="3"/>
        <v>8.3885351321098343E-3</v>
      </c>
      <c r="G261" s="4"/>
      <c r="H261" vm="1555">
        <f ca="1"/>
        <v>45666</v>
      </c>
      <c r="I261" vm="1525">
        <f ca="1"/>
        <v>1.0298</v>
      </c>
    </row>
    <row r="262" spans="1:9" x14ac:dyDescent="0.2">
      <c r="A262" s="2" vm="1112">
        <f ca="1"/>
        <v>45765</v>
      </c>
      <c r="B262" vm="1556">
        <f ca="1"/>
        <v>85137.73</v>
      </c>
      <c r="C262" vm="1556">
        <f ca="1"/>
        <v>85137.73</v>
      </c>
      <c r="D262" vm="1557">
        <f ca="1"/>
        <v>84323.89</v>
      </c>
      <c r="E262" vm="1558">
        <f ca="1"/>
        <v>84491.51</v>
      </c>
      <c r="F262" s="4">
        <f t="shared" ca="1" si="3"/>
        <v>-7.6366800713776077E-3</v>
      </c>
      <c r="G262" s="4"/>
      <c r="H262" vm="1559">
        <f ca="1"/>
        <v>45665</v>
      </c>
      <c r="I262" vm="1560">
        <f ca="1"/>
        <v>1.0318000000000001</v>
      </c>
    </row>
    <row r="263" spans="1:9" x14ac:dyDescent="0.2">
      <c r="A263" s="2" vm="1119">
        <f ca="1"/>
        <v>45764</v>
      </c>
      <c r="B263" vm="1561">
        <f ca="1"/>
        <v>84302.97</v>
      </c>
      <c r="C263" vm="1562">
        <f ca="1"/>
        <v>85461.61</v>
      </c>
      <c r="D263" vm="1563">
        <f ca="1"/>
        <v>83753.84</v>
      </c>
      <c r="E263" vm="1564">
        <f ca="1"/>
        <v>85141.71</v>
      </c>
      <c r="F263" s="4">
        <f t="shared" ca="1" si="3"/>
        <v>1.0010097525584294E-2</v>
      </c>
      <c r="G263" s="4"/>
      <c r="H263" vm="1565">
        <f ca="1"/>
        <v>45664</v>
      </c>
      <c r="I263" vm="1566">
        <f ca="1"/>
        <v>1.0339</v>
      </c>
    </row>
    <row r="264" spans="1:9" x14ac:dyDescent="0.2">
      <c r="A264" s="2" vm="1124">
        <f ca="1"/>
        <v>45763</v>
      </c>
      <c r="B264" vm="1567">
        <f ca="1"/>
        <v>84015.83</v>
      </c>
      <c r="C264" vm="1568">
        <f ca="1"/>
        <v>85441.53</v>
      </c>
      <c r="D264" vm="1569">
        <f ca="1"/>
        <v>83113.39</v>
      </c>
      <c r="E264" vm="1570">
        <f ca="1"/>
        <v>84297.88</v>
      </c>
      <c r="F264" s="4">
        <f t="shared" ca="1" si="3"/>
        <v>3.5858560124044387E-3</v>
      </c>
      <c r="G264" s="4"/>
      <c r="H264" vm="1571">
        <f ca="1"/>
        <v>45663</v>
      </c>
      <c r="I264" vm="1463">
        <f ca="1"/>
        <v>1.0389999999999999</v>
      </c>
    </row>
    <row r="265" spans="1:9" x14ac:dyDescent="0.2">
      <c r="A265" s="2" vm="1130">
        <f ca="1"/>
        <v>45762</v>
      </c>
      <c r="B265" vm="1572">
        <f ca="1"/>
        <v>84850.33</v>
      </c>
      <c r="C265" vm="1573">
        <f ca="1"/>
        <v>86434.2</v>
      </c>
      <c r="D265" vm="1574">
        <f ca="1"/>
        <v>83821.67</v>
      </c>
      <c r="E265" vm="1575">
        <f ca="1"/>
        <v>83996.68</v>
      </c>
      <c r="F265" s="4">
        <f t="shared" ca="1" si="3"/>
        <v>-1.0418933319038936E-2</v>
      </c>
      <c r="G265" s="4"/>
      <c r="H265" vm="1576">
        <f ca="1"/>
        <v>45660</v>
      </c>
      <c r="I265" vm="1577">
        <f ca="1"/>
        <v>1.0307999999999999</v>
      </c>
    </row>
    <row r="266" spans="1:9" x14ac:dyDescent="0.2">
      <c r="A266" s="2" vm="1136">
        <f ca="1"/>
        <v>45761</v>
      </c>
      <c r="B266" vm="1578">
        <f ca="1"/>
        <v>83449.539999999994</v>
      </c>
      <c r="C266" vm="1579">
        <f ca="1"/>
        <v>85781.59</v>
      </c>
      <c r="D266" vm="1580">
        <f ca="1"/>
        <v>83038.039999999994</v>
      </c>
      <c r="E266" vm="1581">
        <f ca="1"/>
        <v>84881.05</v>
      </c>
      <c r="F266" s="4">
        <f t="shared" ca="1" si="3"/>
        <v>1.6749689816122442E-2</v>
      </c>
      <c r="G266" s="4"/>
      <c r="H266" vm="1582">
        <f ca="1"/>
        <v>45659</v>
      </c>
      <c r="I266" vm="1583">
        <f ca="1"/>
        <v>1.0265</v>
      </c>
    </row>
    <row r="267" spans="1:9" x14ac:dyDescent="0.2">
      <c r="A267" s="2" vm="1584">
        <f ca="1"/>
        <v>45760</v>
      </c>
      <c r="B267" vm="1585">
        <f ca="1"/>
        <v>85505.39</v>
      </c>
      <c r="C267" vm="1586">
        <f ca="1"/>
        <v>86042.76</v>
      </c>
      <c r="D267" vm="1587">
        <f ca="1"/>
        <v>83108.59</v>
      </c>
      <c r="E267" vm="1588">
        <f ca="1"/>
        <v>83482.740000000005</v>
      </c>
      <c r="F267" s="4">
        <f t="shared" ref="F267:F330" ca="1" si="4">((E267-E268)/E268)</f>
        <v>-2.3682409212636452E-2</v>
      </c>
      <c r="G267" s="4"/>
      <c r="H267" vm="1589">
        <f ca="1"/>
        <v>45658</v>
      </c>
      <c r="I267" vm="1590">
        <f ca="1"/>
        <v>1.0355000000000001</v>
      </c>
    </row>
    <row r="268" spans="1:9" x14ac:dyDescent="0.2">
      <c r="A268" s="2" vm="1591">
        <f ca="1"/>
        <v>45759</v>
      </c>
      <c r="B268" vm="1592">
        <f ca="1"/>
        <v>83819.55</v>
      </c>
      <c r="C268" vm="1593">
        <f ca="1"/>
        <v>85864.57</v>
      </c>
      <c r="D268" vm="1594">
        <f ca="1"/>
        <v>82769.14</v>
      </c>
      <c r="E268" vm="1595">
        <f ca="1"/>
        <v>85507.77</v>
      </c>
      <c r="F268" s="4">
        <f t="shared" ca="1" si="4"/>
        <v>2.00379276478286E-2</v>
      </c>
      <c r="G268" s="4"/>
      <c r="H268" vm="1596">
        <f ca="1"/>
        <v>45657</v>
      </c>
      <c r="I268" vm="1597">
        <f ca="1"/>
        <v>1.0353000000000001</v>
      </c>
    </row>
    <row r="269" spans="1:9" x14ac:dyDescent="0.2">
      <c r="A269" s="2" vm="1142">
        <f ca="1"/>
        <v>45758</v>
      </c>
      <c r="B269" vm="1598">
        <f ca="1"/>
        <v>79909.08</v>
      </c>
      <c r="C269" vm="1599">
        <f ca="1"/>
        <v>84172.58</v>
      </c>
      <c r="D269" vm="1600">
        <f ca="1"/>
        <v>78951.13</v>
      </c>
      <c r="E269" vm="1601">
        <f ca="1"/>
        <v>83828.03</v>
      </c>
      <c r="F269" s="4">
        <f t="shared" ca="1" si="4"/>
        <v>4.9465108252184455E-2</v>
      </c>
      <c r="G269" s="4"/>
      <c r="H269" vm="1602">
        <f ca="1"/>
        <v>45656</v>
      </c>
      <c r="I269" vm="1499">
        <f ca="1"/>
        <v>1.0407</v>
      </c>
    </row>
    <row r="270" spans="1:9" x14ac:dyDescent="0.2">
      <c r="A270" s="2" vm="1148">
        <f ca="1"/>
        <v>45757</v>
      </c>
      <c r="B270" vm="1603">
        <f ca="1"/>
        <v>83198.210000000006</v>
      </c>
      <c r="C270" vm="1604">
        <f ca="1"/>
        <v>83548.039999999994</v>
      </c>
      <c r="D270" vm="1605">
        <f ca="1"/>
        <v>78428.89</v>
      </c>
      <c r="E270" vm="1606">
        <f ca="1"/>
        <v>79876.91</v>
      </c>
      <c r="F270" s="4">
        <f t="shared" ca="1" si="4"/>
        <v>-3.9939023913870955E-2</v>
      </c>
    </row>
    <row r="271" spans="1:9" x14ac:dyDescent="0.2">
      <c r="A271" s="2" vm="1155">
        <f ca="1"/>
        <v>45756</v>
      </c>
      <c r="B271" vm="1607">
        <f ca="1"/>
        <v>77113.279999999999</v>
      </c>
      <c r="C271" vm="1608">
        <f ca="1"/>
        <v>83209.320000000007</v>
      </c>
      <c r="D271" vm="1609">
        <f ca="1"/>
        <v>74609.119999999995</v>
      </c>
      <c r="E271" vm="1610">
        <f ca="1"/>
        <v>83199.83</v>
      </c>
      <c r="F271" s="4">
        <f t="shared" ca="1" si="4"/>
        <v>7.998387290017675E-2</v>
      </c>
    </row>
    <row r="272" spans="1:9" x14ac:dyDescent="0.2">
      <c r="A272" s="2" vm="1162">
        <f ca="1"/>
        <v>45755</v>
      </c>
      <c r="B272" vm="1611">
        <f ca="1"/>
        <v>78917.289999999994</v>
      </c>
      <c r="C272" vm="1612">
        <f ca="1"/>
        <v>80828.94</v>
      </c>
      <c r="D272" vm="1613">
        <f ca="1"/>
        <v>76312.98</v>
      </c>
      <c r="E272" vm="1614">
        <f ca="1"/>
        <v>77038.03</v>
      </c>
      <c r="F272" s="4">
        <f t="shared" ca="1" si="4"/>
        <v>-2.3815877640351663E-2</v>
      </c>
    </row>
    <row r="273" spans="1:6" x14ac:dyDescent="0.2">
      <c r="A273" s="2" vm="1168">
        <f ca="1"/>
        <v>45754</v>
      </c>
      <c r="B273" vm="1615">
        <f ca="1"/>
        <v>78805.3</v>
      </c>
      <c r="C273" vm="1616">
        <f ca="1"/>
        <v>81145.75</v>
      </c>
      <c r="D273" vm="1617">
        <f ca="1"/>
        <v>74445.789999999994</v>
      </c>
      <c r="E273" vm="1618">
        <f ca="1"/>
        <v>78917.52</v>
      </c>
      <c r="F273" s="4">
        <f t="shared" ca="1" si="4"/>
        <v>1.379922564455707E-3</v>
      </c>
    </row>
    <row r="274" spans="1:6" x14ac:dyDescent="0.2">
      <c r="A274" s="2" vm="1619">
        <f ca="1"/>
        <v>45753</v>
      </c>
      <c r="B274" vm="1620">
        <f ca="1"/>
        <v>83046.41</v>
      </c>
      <c r="C274" vm="1621">
        <f ca="1"/>
        <v>83732.73</v>
      </c>
      <c r="D274" vm="1622">
        <f ca="1"/>
        <v>78565.34</v>
      </c>
      <c r="E274" vm="1623">
        <f ca="1"/>
        <v>78808.77</v>
      </c>
      <c r="F274" s="4">
        <f t="shared" ca="1" si="4"/>
        <v>-5.09838323944578E-2</v>
      </c>
    </row>
    <row r="275" spans="1:6" x14ac:dyDescent="0.2">
      <c r="A275" s="2" vm="1624">
        <f ca="1"/>
        <v>45752</v>
      </c>
      <c r="B275" vm="1625">
        <f ca="1"/>
        <v>84142.78</v>
      </c>
      <c r="C275" vm="1626">
        <f ca="1"/>
        <v>84416.14</v>
      </c>
      <c r="D275" vm="1627">
        <f ca="1"/>
        <v>82379.3</v>
      </c>
      <c r="E275" vm="1628">
        <f ca="1"/>
        <v>83042.600000000006</v>
      </c>
      <c r="F275" s="4">
        <f t="shared" ca="1" si="4"/>
        <v>-1.2910568622498186E-2</v>
      </c>
    </row>
    <row r="276" spans="1:6" x14ac:dyDescent="0.2">
      <c r="A276" s="2" vm="1174">
        <f ca="1"/>
        <v>45751</v>
      </c>
      <c r="B276" vm="1629">
        <f ca="1"/>
        <v>82357.52</v>
      </c>
      <c r="C276" vm="1630">
        <f ca="1"/>
        <v>84701.92</v>
      </c>
      <c r="D276" vm="1631">
        <f ca="1"/>
        <v>81677.11</v>
      </c>
      <c r="E276" vm="1632">
        <f ca="1"/>
        <v>84128.75</v>
      </c>
      <c r="F276" s="4">
        <f t="shared" ca="1" si="4"/>
        <v>2.1807838486618464E-2</v>
      </c>
    </row>
    <row r="277" spans="1:6" x14ac:dyDescent="0.2">
      <c r="A277" s="2" vm="1180">
        <f ca="1"/>
        <v>45750</v>
      </c>
      <c r="B277" vm="1633">
        <f ca="1"/>
        <v>85736.87</v>
      </c>
      <c r="C277" vm="1633">
        <f ca="1"/>
        <v>85736.87</v>
      </c>
      <c r="D277" vm="1634">
        <f ca="1"/>
        <v>81289.84</v>
      </c>
      <c r="E277" vm="1635">
        <f ca="1"/>
        <v>82333.240000000005</v>
      </c>
      <c r="F277" s="4">
        <f t="shared" ca="1" si="4"/>
        <v>-3.8903891603177726E-2</v>
      </c>
    </row>
    <row r="278" spans="1:6" x14ac:dyDescent="0.2">
      <c r="A278" s="2" vm="1186">
        <f ca="1"/>
        <v>45749</v>
      </c>
      <c r="B278" vm="1636">
        <f ca="1"/>
        <v>85254.12</v>
      </c>
      <c r="C278" vm="1637">
        <f ca="1"/>
        <v>88393.8</v>
      </c>
      <c r="D278" vm="1638">
        <f ca="1"/>
        <v>83933.61</v>
      </c>
      <c r="E278" vm="1639">
        <f ca="1"/>
        <v>85665.98</v>
      </c>
      <c r="F278" s="4">
        <f t="shared" ca="1" si="4"/>
        <v>4.9990696840655924E-3</v>
      </c>
    </row>
    <row r="279" spans="1:6" x14ac:dyDescent="0.2">
      <c r="A279" s="2" vm="1192">
        <f ca="1"/>
        <v>45748</v>
      </c>
      <c r="B279" vm="1640">
        <f ca="1"/>
        <v>82439.490000000005</v>
      </c>
      <c r="C279" vm="1641">
        <f ca="1"/>
        <v>85484.54</v>
      </c>
      <c r="D279" vm="1642">
        <f ca="1"/>
        <v>82255.83</v>
      </c>
      <c r="E279" vm="1643">
        <f ca="1"/>
        <v>85239.86</v>
      </c>
      <c r="F279" s="4">
        <f t="shared" ca="1" si="4"/>
        <v>3.3989237469288988E-2</v>
      </c>
    </row>
    <row r="280" spans="1:6" x14ac:dyDescent="0.2">
      <c r="A280" s="2" vm="1199">
        <f ca="1"/>
        <v>45747</v>
      </c>
      <c r="B280" vm="1644">
        <f ca="1"/>
        <v>82605.759999999995</v>
      </c>
      <c r="C280" vm="1645">
        <f ca="1"/>
        <v>83902.73</v>
      </c>
      <c r="D280" vm="1646">
        <f ca="1"/>
        <v>81311.67</v>
      </c>
      <c r="E280" vm="1647">
        <f ca="1"/>
        <v>82437.86</v>
      </c>
      <c r="F280" s="4">
        <f t="shared" ca="1" si="4"/>
        <v>-1.3335281292301388E-3</v>
      </c>
    </row>
    <row r="281" spans="1:6" x14ac:dyDescent="0.2">
      <c r="A281" s="2" vm="1648">
        <f ca="1"/>
        <v>45746</v>
      </c>
      <c r="B281" vm="1649">
        <f ca="1"/>
        <v>82519.47</v>
      </c>
      <c r="C281" vm="1650">
        <f ca="1"/>
        <v>83531.3</v>
      </c>
      <c r="D281" vm="1651">
        <f ca="1"/>
        <v>82065.820000000007</v>
      </c>
      <c r="E281" vm="1652">
        <f ca="1"/>
        <v>82547.94</v>
      </c>
      <c r="F281" s="4">
        <f t="shared" ca="1" si="4"/>
        <v>5.0735654875374734E-4</v>
      </c>
    </row>
    <row r="282" spans="1:6" x14ac:dyDescent="0.2">
      <c r="A282" s="2" vm="1653">
        <f ca="1"/>
        <v>45745</v>
      </c>
      <c r="B282" vm="1654">
        <f ca="1"/>
        <v>83797.27</v>
      </c>
      <c r="C282" vm="1655">
        <f ca="1"/>
        <v>84592.48</v>
      </c>
      <c r="D282" vm="1656">
        <f ca="1"/>
        <v>81650.429999999993</v>
      </c>
      <c r="E282" vm="1657">
        <f ca="1"/>
        <v>82506.080000000002</v>
      </c>
      <c r="F282" s="4">
        <f t="shared" ca="1" si="4"/>
        <v>-1.5369486699218683E-2</v>
      </c>
    </row>
    <row r="283" spans="1:6" x14ac:dyDescent="0.2">
      <c r="A283" s="2" vm="1206">
        <f ca="1"/>
        <v>45744</v>
      </c>
      <c r="B283" vm="1658">
        <f ca="1"/>
        <v>87305.52</v>
      </c>
      <c r="C283" vm="1659">
        <f ca="1"/>
        <v>87711.63</v>
      </c>
      <c r="D283" vm="1660">
        <f ca="1"/>
        <v>83588.75</v>
      </c>
      <c r="E283" vm="1661">
        <f ca="1"/>
        <v>83793.95</v>
      </c>
      <c r="F283" s="4">
        <f t="shared" ca="1" si="4"/>
        <v>-4.02168991521571E-2</v>
      </c>
    </row>
    <row r="284" spans="1:6" x14ac:dyDescent="0.2">
      <c r="A284" s="2" vm="1212">
        <f ca="1"/>
        <v>45743</v>
      </c>
      <c r="B284" vm="1662">
        <f ca="1"/>
        <v>87307.37</v>
      </c>
      <c r="C284" vm="1663">
        <f ca="1"/>
        <v>87777.94</v>
      </c>
      <c r="D284" vm="1664">
        <f ca="1"/>
        <v>85863.17</v>
      </c>
      <c r="E284" vm="1665">
        <f ca="1"/>
        <v>87305.09</v>
      </c>
      <c r="F284" s="4">
        <f t="shared" ca="1" si="4"/>
        <v>3.5909995846398839E-4</v>
      </c>
    </row>
    <row r="285" spans="1:6" x14ac:dyDescent="0.2">
      <c r="A285" s="2" vm="1218">
        <f ca="1"/>
        <v>45742</v>
      </c>
      <c r="B285" vm="1666">
        <f ca="1"/>
        <v>87906.04</v>
      </c>
      <c r="C285" vm="1667">
        <f ca="1"/>
        <v>88300.37</v>
      </c>
      <c r="D285" vm="1668">
        <f ca="1"/>
        <v>85892.57</v>
      </c>
      <c r="E285" vm="1669">
        <f ca="1"/>
        <v>87273.75</v>
      </c>
      <c r="F285" s="4">
        <f t="shared" ca="1" si="4"/>
        <v>-7.0746447090968825E-3</v>
      </c>
    </row>
    <row r="286" spans="1:6" x14ac:dyDescent="0.2">
      <c r="A286" s="2" vm="1224">
        <f ca="1"/>
        <v>45741</v>
      </c>
      <c r="B286" vm="1670">
        <f ca="1"/>
        <v>87887.82</v>
      </c>
      <c r="C286" vm="1671">
        <f ca="1"/>
        <v>88555.93</v>
      </c>
      <c r="D286" vm="1672">
        <f ca="1"/>
        <v>86350.54</v>
      </c>
      <c r="E286" vm="1673">
        <f ca="1"/>
        <v>87895.58</v>
      </c>
      <c r="F286" s="4">
        <f t="shared" ca="1" si="4"/>
        <v>-1.1832081825144097E-5</v>
      </c>
    </row>
    <row r="287" spans="1:6" x14ac:dyDescent="0.2">
      <c r="A287" s="2" vm="1230">
        <f ca="1"/>
        <v>45740</v>
      </c>
      <c r="B287" vm="1674">
        <f ca="1"/>
        <v>85123.61</v>
      </c>
      <c r="C287" vm="1675">
        <f ca="1"/>
        <v>88771.75</v>
      </c>
      <c r="D287" vm="1676">
        <f ca="1"/>
        <v>84965.73</v>
      </c>
      <c r="E287" vm="1677">
        <f ca="1"/>
        <v>87896.62</v>
      </c>
      <c r="F287" s="4">
        <f t="shared" ca="1" si="4"/>
        <v>3.2221704851922037E-2</v>
      </c>
    </row>
    <row r="288" spans="1:6" x14ac:dyDescent="0.2">
      <c r="A288" s="2" vm="1678">
        <f ca="1"/>
        <v>45739</v>
      </c>
      <c r="B288" vm="1679">
        <f ca="1"/>
        <v>83952.1</v>
      </c>
      <c r="C288" vm="1680">
        <f ca="1"/>
        <v>85401.7</v>
      </c>
      <c r="D288" vm="1681">
        <f ca="1"/>
        <v>83687.98</v>
      </c>
      <c r="E288" vm="1682">
        <f ca="1"/>
        <v>85152.85</v>
      </c>
      <c r="F288" s="4">
        <f t="shared" ca="1" si="4"/>
        <v>1.4423028240282286E-2</v>
      </c>
    </row>
    <row r="289" spans="1:6" x14ac:dyDescent="0.2">
      <c r="A289" s="2" vm="1683">
        <f ca="1"/>
        <v>45738</v>
      </c>
      <c r="B289" vm="1684">
        <f ca="1"/>
        <v>84200.74</v>
      </c>
      <c r="C289" vm="1685">
        <f ca="1"/>
        <v>84555.88</v>
      </c>
      <c r="D289" vm="1686">
        <f ca="1"/>
        <v>83942.15</v>
      </c>
      <c r="E289" vm="1686">
        <f ca="1"/>
        <v>83942.15</v>
      </c>
      <c r="F289" s="4">
        <f t="shared" ca="1" si="4"/>
        <v>-2.7970624013990849E-3</v>
      </c>
    </row>
    <row r="290" spans="1:6" x14ac:dyDescent="0.2">
      <c r="A290" s="2" vm="1236">
        <f ca="1"/>
        <v>45737</v>
      </c>
      <c r="B290" vm="1687">
        <f ca="1"/>
        <v>84522.2</v>
      </c>
      <c r="C290" vm="1688">
        <f ca="1"/>
        <v>84818.85</v>
      </c>
      <c r="D290" vm="1689">
        <f ca="1"/>
        <v>83194.69</v>
      </c>
      <c r="E290" vm="1690">
        <f ca="1"/>
        <v>84177.600000000006</v>
      </c>
      <c r="F290" s="4">
        <f t="shared" ca="1" si="4"/>
        <v>-3.955420232043102E-3</v>
      </c>
    </row>
    <row r="291" spans="1:6" x14ac:dyDescent="0.2">
      <c r="A291" s="2" vm="1243">
        <f ca="1"/>
        <v>45736</v>
      </c>
      <c r="B291" vm="1691">
        <f ca="1"/>
        <v>85395.6</v>
      </c>
      <c r="C291" vm="1692">
        <f ca="1"/>
        <v>87462.57</v>
      </c>
      <c r="D291" vm="1693">
        <f ca="1"/>
        <v>83652.59</v>
      </c>
      <c r="E291" vm="1694">
        <f ca="1"/>
        <v>84511.88</v>
      </c>
      <c r="F291" s="4">
        <f t="shared" ca="1" si="4"/>
        <v>-1.0117635373445791E-2</v>
      </c>
    </row>
    <row r="292" spans="1:6" x14ac:dyDescent="0.2">
      <c r="A292" s="2" vm="1250">
        <f ca="1"/>
        <v>45735</v>
      </c>
      <c r="B292" vm="1695">
        <f ca="1"/>
        <v>82029.94</v>
      </c>
      <c r="C292" vm="1696">
        <f ca="1"/>
        <v>85959.16</v>
      </c>
      <c r="D292" vm="1697">
        <f ca="1"/>
        <v>81925.429999999993</v>
      </c>
      <c r="E292" vm="1698">
        <f ca="1"/>
        <v>85375.679999999993</v>
      </c>
      <c r="F292" s="4">
        <f t="shared" ca="1" si="4"/>
        <v>4.0980468374686094E-2</v>
      </c>
    </row>
    <row r="293" spans="1:6" x14ac:dyDescent="0.2">
      <c r="A293" s="2" vm="1256">
        <f ca="1"/>
        <v>45734</v>
      </c>
      <c r="B293" vm="1699">
        <f ca="1"/>
        <v>83981.32</v>
      </c>
      <c r="C293" vm="1700">
        <f ca="1"/>
        <v>84263.34</v>
      </c>
      <c r="D293" vm="1701">
        <f ca="1"/>
        <v>81184.42</v>
      </c>
      <c r="E293" vm="1702">
        <f ca="1"/>
        <v>82014.679999999993</v>
      </c>
      <c r="F293" s="4">
        <f t="shared" ca="1" si="4"/>
        <v>-2.3342578559514323E-2</v>
      </c>
    </row>
    <row r="294" spans="1:6" x14ac:dyDescent="0.2">
      <c r="A294" s="2" vm="1262">
        <f ca="1"/>
        <v>45733</v>
      </c>
      <c r="B294" vm="1703">
        <f ca="1"/>
        <v>83234.53</v>
      </c>
      <c r="C294" vm="1704">
        <f ca="1"/>
        <v>84746.78</v>
      </c>
      <c r="D294" vm="1705">
        <f ca="1"/>
        <v>82035.990000000005</v>
      </c>
      <c r="E294" vm="1706">
        <f ca="1"/>
        <v>83974.87</v>
      </c>
      <c r="F294" s="4">
        <f t="shared" ca="1" si="4"/>
        <v>8.8909895052346911E-3</v>
      </c>
    </row>
    <row r="295" spans="1:6" x14ac:dyDescent="0.2">
      <c r="A295" s="2" vm="1707">
        <f ca="1"/>
        <v>45732</v>
      </c>
      <c r="B295" vm="1708">
        <f ca="1"/>
        <v>84418.12</v>
      </c>
      <c r="C295" vm="1709">
        <f ca="1"/>
        <v>84942.95</v>
      </c>
      <c r="D295" vm="1710">
        <f ca="1"/>
        <v>82424.08</v>
      </c>
      <c r="E295" vm="1711">
        <f ca="1"/>
        <v>83234.83</v>
      </c>
      <c r="F295" s="4">
        <f t="shared" ca="1" si="4"/>
        <v>-1.3879874957319611E-2</v>
      </c>
    </row>
    <row r="296" spans="1:6" x14ac:dyDescent="0.2">
      <c r="A296" s="2" vm="1712">
        <f ca="1"/>
        <v>45731</v>
      </c>
      <c r="B296" vm="1713">
        <f ca="1"/>
        <v>84176.13</v>
      </c>
      <c r="C296" vm="1714">
        <f ca="1"/>
        <v>84709.33</v>
      </c>
      <c r="D296" vm="1715">
        <f ca="1"/>
        <v>83677.22</v>
      </c>
      <c r="E296" vm="1716">
        <f ca="1"/>
        <v>84406.38</v>
      </c>
      <c r="F296" s="4">
        <f t="shared" ca="1" si="4"/>
        <v>2.7409348498128932E-3</v>
      </c>
    </row>
    <row r="297" spans="1:6" x14ac:dyDescent="0.2">
      <c r="A297" s="2" vm="1268">
        <f ca="1"/>
        <v>45730</v>
      </c>
      <c r="B297" vm="1717">
        <f ca="1"/>
        <v>80370.52</v>
      </c>
      <c r="C297" vm="1718">
        <f ca="1"/>
        <v>85310.85</v>
      </c>
      <c r="D297" vm="1719">
        <f ca="1"/>
        <v>80288.479999999996</v>
      </c>
      <c r="E297" vm="1720">
        <f ca="1"/>
        <v>84175.66</v>
      </c>
      <c r="F297" s="4">
        <f t="shared" ca="1" si="4"/>
        <v>4.7606448052693123E-2</v>
      </c>
    </row>
    <row r="298" spans="1:6" x14ac:dyDescent="0.2">
      <c r="A298" s="2" vm="1274">
        <f ca="1"/>
        <v>45729</v>
      </c>
      <c r="B298" vm="1721">
        <f ca="1"/>
        <v>83142</v>
      </c>
      <c r="C298" vm="1722">
        <f ca="1"/>
        <v>84312.16</v>
      </c>
      <c r="D298" vm="1723">
        <f ca="1"/>
        <v>79948.5</v>
      </c>
      <c r="E298" vm="1724">
        <f ca="1"/>
        <v>80350.460000000006</v>
      </c>
      <c r="F298" s="4">
        <f t="shared" ca="1" si="4"/>
        <v>-3.358626326811702E-2</v>
      </c>
    </row>
    <row r="299" spans="1:6" x14ac:dyDescent="0.2">
      <c r="A299" s="2" vm="1280">
        <f ca="1"/>
        <v>45728</v>
      </c>
      <c r="B299" vm="1725">
        <f ca="1"/>
        <v>82829.899999999994</v>
      </c>
      <c r="C299" vm="1726">
        <f ca="1"/>
        <v>84326.77</v>
      </c>
      <c r="D299" vm="1727">
        <f ca="1"/>
        <v>80661.86</v>
      </c>
      <c r="E299" vm="1728">
        <f ca="1"/>
        <v>83142.92</v>
      </c>
      <c r="F299" s="4">
        <f t="shared" ca="1" si="4"/>
        <v>3.9596691420636151E-3</v>
      </c>
    </row>
    <row r="300" spans="1:6" x14ac:dyDescent="0.2">
      <c r="A300" s="2" vm="1287">
        <f ca="1"/>
        <v>45727</v>
      </c>
      <c r="B300" vm="1729">
        <f ca="1"/>
        <v>79298.86</v>
      </c>
      <c r="C300" vm="1730">
        <f ca="1"/>
        <v>83614.899999999994</v>
      </c>
      <c r="D300" vm="1731">
        <f ca="1"/>
        <v>76666.98</v>
      </c>
      <c r="E300" vm="1732">
        <f ca="1"/>
        <v>82815</v>
      </c>
      <c r="F300" s="4">
        <f t="shared" ca="1" si="4"/>
        <v>4.4628328518990373E-2</v>
      </c>
    </row>
    <row r="301" spans="1:6" x14ac:dyDescent="0.2">
      <c r="A301" s="2" vm="1294">
        <f ca="1"/>
        <v>45726</v>
      </c>
      <c r="B301" vm="1733">
        <f ca="1"/>
        <v>83058.320000000007</v>
      </c>
      <c r="C301" vm="1734">
        <f ca="1"/>
        <v>83890.27</v>
      </c>
      <c r="D301" vm="1735">
        <f ca="1"/>
        <v>77411.83</v>
      </c>
      <c r="E301" vm="1736">
        <f ca="1"/>
        <v>79277</v>
      </c>
      <c r="F301" s="4">
        <f t="shared" ca="1" si="4"/>
        <v>-4.5777683304160738E-2</v>
      </c>
    </row>
    <row r="302" spans="1:6" x14ac:dyDescent="0.2">
      <c r="A302" s="2" vm="1737">
        <f ca="1"/>
        <v>45725</v>
      </c>
      <c r="B302" vm="1738">
        <f ca="1"/>
        <v>86263.67</v>
      </c>
      <c r="C302" vm="1739">
        <f ca="1"/>
        <v>86477.1</v>
      </c>
      <c r="D302" vm="1740">
        <f ca="1"/>
        <v>82233.119999999995</v>
      </c>
      <c r="E302" vm="1741">
        <f ca="1"/>
        <v>83080.22</v>
      </c>
      <c r="F302" s="4">
        <f t="shared" ca="1" si="4"/>
        <v>-3.6261437405067619E-2</v>
      </c>
    </row>
    <row r="303" spans="1:6" x14ac:dyDescent="0.2">
      <c r="A303" s="2" vm="1742">
        <f ca="1"/>
        <v>45724</v>
      </c>
      <c r="B303" vm="1743">
        <f ca="1"/>
        <v>86306.13</v>
      </c>
      <c r="C303" vm="1744">
        <f ca="1"/>
        <v>86883.05</v>
      </c>
      <c r="D303" vm="1745">
        <f ca="1"/>
        <v>85180.160000000003</v>
      </c>
      <c r="E303" vm="1746">
        <f ca="1"/>
        <v>86206.18</v>
      </c>
      <c r="F303" s="4">
        <f t="shared" ca="1" si="4"/>
        <v>-7.8239388884304001E-4</v>
      </c>
    </row>
    <row r="304" spans="1:6" x14ac:dyDescent="0.2">
      <c r="A304" s="2" vm="1300">
        <f ca="1"/>
        <v>45723</v>
      </c>
      <c r="B304" vm="1747">
        <f ca="1"/>
        <v>90023.91</v>
      </c>
      <c r="C304" vm="1748">
        <f ca="1"/>
        <v>91168.62</v>
      </c>
      <c r="D304" vm="1749">
        <f ca="1"/>
        <v>84838.57</v>
      </c>
      <c r="E304" vm="1750">
        <f ca="1"/>
        <v>86273.68</v>
      </c>
      <c r="F304" s="4">
        <f t="shared" ca="1" si="4"/>
        <v>-3.5780010304542968E-2</v>
      </c>
    </row>
    <row r="305" spans="1:6" x14ac:dyDescent="0.2">
      <c r="A305" s="2" vm="1305">
        <f ca="1"/>
        <v>45722</v>
      </c>
      <c r="B305" vm="1751">
        <f ca="1"/>
        <v>90412.51</v>
      </c>
      <c r="C305" vm="1752">
        <f ca="1"/>
        <v>92804.67</v>
      </c>
      <c r="D305" vm="1753">
        <f ca="1"/>
        <v>87869.82</v>
      </c>
      <c r="E305" vm="1754">
        <f ca="1"/>
        <v>89475.1</v>
      </c>
      <c r="F305" s="4">
        <f t="shared" ca="1" si="4"/>
        <v>-1.0307720675138054E-2</v>
      </c>
    </row>
    <row r="306" spans="1:6" x14ac:dyDescent="0.2">
      <c r="A306" s="2" vm="1311">
        <f ca="1"/>
        <v>45721</v>
      </c>
      <c r="B306" vm="1755">
        <f ca="1"/>
        <v>87519.11</v>
      </c>
      <c r="C306" vm="1756">
        <f ca="1"/>
        <v>90898.64</v>
      </c>
      <c r="D306" vm="1757">
        <f ca="1"/>
        <v>86409.91</v>
      </c>
      <c r="E306" vm="1758">
        <f ca="1"/>
        <v>90406.99</v>
      </c>
      <c r="F306" s="4">
        <f t="shared" ca="1" si="4"/>
        <v>3.3031838573374578E-2</v>
      </c>
    </row>
    <row r="307" spans="1:6" x14ac:dyDescent="0.2">
      <c r="A307" s="2" vm="1317">
        <f ca="1"/>
        <v>45720</v>
      </c>
      <c r="B307" vm="1759">
        <f ca="1"/>
        <v>85316.2</v>
      </c>
      <c r="C307" vm="1760">
        <f ca="1"/>
        <v>88904.15</v>
      </c>
      <c r="D307" vm="1761">
        <f ca="1"/>
        <v>81548.210000000006</v>
      </c>
      <c r="E307" vm="1762">
        <f ca="1"/>
        <v>87516.17</v>
      </c>
      <c r="F307" s="4">
        <f t="shared" ca="1" si="4"/>
        <v>2.6093725195103553E-2</v>
      </c>
    </row>
    <row r="308" spans="1:6" x14ac:dyDescent="0.2">
      <c r="A308" s="2" vm="1323">
        <f ca="1"/>
        <v>45719</v>
      </c>
      <c r="B308" vm="1763">
        <f ca="1"/>
        <v>94307.99</v>
      </c>
      <c r="C308" vm="1764">
        <f ca="1"/>
        <v>94852.56</v>
      </c>
      <c r="D308" vm="1765">
        <f ca="1"/>
        <v>85123.33</v>
      </c>
      <c r="E308" vm="1766">
        <f ca="1"/>
        <v>85290.62</v>
      </c>
      <c r="F308" s="4">
        <f t="shared" ca="1" si="4"/>
        <v>-9.5392495938098981E-2</v>
      </c>
    </row>
    <row r="309" spans="1:6" x14ac:dyDescent="0.2">
      <c r="A309" s="2" vm="1767">
        <f ca="1"/>
        <v>45718</v>
      </c>
      <c r="B309" vm="1768">
        <f ca="1"/>
        <v>86045.06</v>
      </c>
      <c r="C309" vm="1769">
        <f ca="1"/>
        <v>94986.44</v>
      </c>
      <c r="D309" vm="1770">
        <f ca="1"/>
        <v>85047.56</v>
      </c>
      <c r="E309" vm="1771">
        <f ca="1"/>
        <v>94284.67</v>
      </c>
      <c r="F309" s="4">
        <f t="shared" ca="1" si="4"/>
        <v>0.11906894941626851</v>
      </c>
    </row>
    <row r="310" spans="1:6" x14ac:dyDescent="0.2">
      <c r="A310" s="2" vm="1772">
        <f ca="1"/>
        <v>45717</v>
      </c>
      <c r="B310" vm="1773">
        <f ca="1"/>
        <v>84299.31</v>
      </c>
      <c r="C310" vm="1774">
        <f ca="1"/>
        <v>85090.09</v>
      </c>
      <c r="D310" vm="1775">
        <f ca="1"/>
        <v>78273.03</v>
      </c>
      <c r="E310" vm="1776">
        <f ca="1"/>
        <v>84252.78</v>
      </c>
      <c r="F310" s="4">
        <f t="shared" ca="1" si="4"/>
        <v>0</v>
      </c>
    </row>
    <row r="311" spans="1:6" x14ac:dyDescent="0.2">
      <c r="A311" s="2" vm="1330">
        <f ca="1"/>
        <v>45716</v>
      </c>
      <c r="B311" vm="1773">
        <f ca="1"/>
        <v>84299.31</v>
      </c>
      <c r="C311" vm="1774">
        <f ca="1"/>
        <v>85090.09</v>
      </c>
      <c r="D311" vm="1775">
        <f ca="1"/>
        <v>78273.03</v>
      </c>
      <c r="E311" vm="1776">
        <f ca="1"/>
        <v>84252.78</v>
      </c>
      <c r="F311" s="4">
        <f t="shared" ca="1" si="4"/>
        <v>-4.9469431450312163E-4</v>
      </c>
    </row>
    <row r="312" spans="1:6" x14ac:dyDescent="0.2">
      <c r="A312" s="2" vm="1337">
        <f ca="1"/>
        <v>45715</v>
      </c>
      <c r="B312" vm="1777">
        <f ca="1"/>
        <v>84473.919999999998</v>
      </c>
      <c r="C312" vm="1778">
        <f ca="1"/>
        <v>87004.86</v>
      </c>
      <c r="D312" vm="1779">
        <f ca="1"/>
        <v>82543.649999999994</v>
      </c>
      <c r="E312" vm="1780">
        <f ca="1"/>
        <v>84294.48</v>
      </c>
      <c r="F312" s="4">
        <f t="shared" ca="1" si="4"/>
        <v>-1.8972298880667576E-3</v>
      </c>
    </row>
    <row r="313" spans="1:6" x14ac:dyDescent="0.2">
      <c r="A313" s="2" vm="1343">
        <f ca="1"/>
        <v>45714</v>
      </c>
      <c r="B313" vm="1781">
        <f ca="1"/>
        <v>88706.67</v>
      </c>
      <c r="C313" vm="1782">
        <f ca="1"/>
        <v>89402.34</v>
      </c>
      <c r="D313" vm="1783">
        <f ca="1"/>
        <v>82156.990000000005</v>
      </c>
      <c r="E313" vm="1784">
        <f ca="1"/>
        <v>84454.71</v>
      </c>
      <c r="F313" s="4">
        <f t="shared" ca="1" si="4"/>
        <v>-4.7655180416146303E-2</v>
      </c>
    </row>
    <row r="314" spans="1:6" x14ac:dyDescent="0.2">
      <c r="A314" s="2" vm="1349">
        <f ca="1"/>
        <v>45713</v>
      </c>
      <c r="B314" vm="1785">
        <f ca="1"/>
        <v>93997.17</v>
      </c>
      <c r="C314" vm="1785">
        <f ca="1"/>
        <v>93997.17</v>
      </c>
      <c r="D314" vm="1786">
        <f ca="1"/>
        <v>86003.11</v>
      </c>
      <c r="E314" vm="1787">
        <f ca="1"/>
        <v>88680.81</v>
      </c>
      <c r="F314" s="4">
        <f t="shared" ca="1" si="4"/>
        <v>-5.6374912400512234E-2</v>
      </c>
    </row>
    <row r="315" spans="1:6" x14ac:dyDescent="0.2">
      <c r="A315" s="2" vm="1355">
        <f ca="1"/>
        <v>45712</v>
      </c>
      <c r="B315" vm="1788">
        <f ca="1"/>
        <v>95678.5</v>
      </c>
      <c r="C315" vm="1789">
        <f ca="1"/>
        <v>96515.9</v>
      </c>
      <c r="D315" vm="1790">
        <f ca="1"/>
        <v>93642.49</v>
      </c>
      <c r="E315" vm="1791">
        <f ca="1"/>
        <v>93978.86</v>
      </c>
      <c r="F315" s="4">
        <f t="shared" ca="1" si="4"/>
        <v>-1.4436096028940963E-2</v>
      </c>
    </row>
    <row r="316" spans="1:6" x14ac:dyDescent="0.2">
      <c r="A316" s="2" vm="1792">
        <f ca="1"/>
        <v>45710</v>
      </c>
      <c r="B316" vm="1793">
        <f ca="1"/>
        <v>98136.92</v>
      </c>
      <c r="C316" vm="1794">
        <f ca="1"/>
        <v>99502.96</v>
      </c>
      <c r="D316" vm="1795">
        <f ca="1"/>
        <v>94872.28</v>
      </c>
      <c r="E316" vm="1796">
        <f ca="1"/>
        <v>95355.42</v>
      </c>
      <c r="F316" s="4">
        <f t="shared" ca="1" si="4"/>
        <v>0</v>
      </c>
    </row>
    <row r="317" spans="1:6" x14ac:dyDescent="0.2">
      <c r="A317" s="2" vm="1361">
        <f ca="1"/>
        <v>45709</v>
      </c>
      <c r="B317" vm="1793">
        <f ca="1"/>
        <v>98136.92</v>
      </c>
      <c r="C317" vm="1794">
        <f ca="1"/>
        <v>99502.96</v>
      </c>
      <c r="D317" vm="1795">
        <f ca="1"/>
        <v>94872.28</v>
      </c>
      <c r="E317" vm="1796">
        <f ca="1"/>
        <v>95355.42</v>
      </c>
      <c r="F317" s="4">
        <f t="shared" ca="1" si="4"/>
        <v>-2.8335231886564165E-2</v>
      </c>
    </row>
    <row r="318" spans="1:6" x14ac:dyDescent="0.2">
      <c r="A318" s="2" vm="1367">
        <f ca="1"/>
        <v>45708</v>
      </c>
      <c r="B318" vm="1797">
        <f ca="1"/>
        <v>96330.9</v>
      </c>
      <c r="C318" vm="1798">
        <f ca="1"/>
        <v>98757.23</v>
      </c>
      <c r="D318" vm="1797">
        <f ca="1"/>
        <v>96330.9</v>
      </c>
      <c r="E318" vm="1799">
        <f ca="1"/>
        <v>98136.13</v>
      </c>
      <c r="F318" s="4">
        <f t="shared" ca="1" si="4"/>
        <v>1.8886269992045096E-2</v>
      </c>
    </row>
    <row r="319" spans="1:6" x14ac:dyDescent="0.2">
      <c r="A319" s="2" vm="1374">
        <f ca="1"/>
        <v>45707</v>
      </c>
      <c r="B319" vm="1800">
        <f ca="1"/>
        <v>95044.08</v>
      </c>
      <c r="C319" vm="1801">
        <f ca="1"/>
        <v>96694.56</v>
      </c>
      <c r="D319" vm="1802">
        <f ca="1"/>
        <v>94846.74</v>
      </c>
      <c r="E319" vm="1803">
        <f ca="1"/>
        <v>96317.06</v>
      </c>
      <c r="F319" s="4">
        <f t="shared" ca="1" si="4"/>
        <v>1.3458299474073615E-2</v>
      </c>
    </row>
    <row r="320" spans="1:6" x14ac:dyDescent="0.2">
      <c r="A320" s="2" vm="1381">
        <f ca="1"/>
        <v>45706</v>
      </c>
      <c r="B320" vm="1804">
        <f ca="1"/>
        <v>96429.84</v>
      </c>
      <c r="C320" vm="1805">
        <f ca="1"/>
        <v>96711.82</v>
      </c>
      <c r="D320" vm="1806">
        <f ca="1"/>
        <v>93375.16</v>
      </c>
      <c r="E320" vm="1807">
        <f ca="1"/>
        <v>95038.01</v>
      </c>
      <c r="F320" s="4">
        <f t="shared" ca="1" si="4"/>
        <v>-1.452752065216753E-2</v>
      </c>
    </row>
    <row r="321" spans="1:6" x14ac:dyDescent="0.2">
      <c r="A321" s="2" vm="1387">
        <f ca="1"/>
        <v>45705</v>
      </c>
      <c r="B321" vm="1808">
        <f ca="1"/>
        <v>96983.4</v>
      </c>
      <c r="C321" vm="1809">
        <f ca="1"/>
        <v>97252.66</v>
      </c>
      <c r="D321" vm="1810">
        <f ca="1"/>
        <v>95266.93</v>
      </c>
      <c r="E321" vm="1811">
        <f ca="1"/>
        <v>96439.03</v>
      </c>
      <c r="F321" s="4">
        <f ca="1">((E321-E322)/E322)</f>
        <v>-7.5585406394664432E-3</v>
      </c>
    </row>
    <row r="322" spans="1:6" x14ac:dyDescent="0.2">
      <c r="A322" s="2" vm="1812">
        <f ca="1"/>
        <v>45704</v>
      </c>
      <c r="B322" vm="1813">
        <f ca="1"/>
        <v>97686.52</v>
      </c>
      <c r="C322" vm="1814">
        <f ca="1"/>
        <v>97735.51</v>
      </c>
      <c r="D322" vm="1815">
        <f ca="1"/>
        <v>96696.51</v>
      </c>
      <c r="E322" vm="1816">
        <f ca="1"/>
        <v>97173.52</v>
      </c>
      <c r="F322" s="4">
        <f t="shared" ca="1" si="4"/>
        <v>-3.3616991118783101E-3</v>
      </c>
    </row>
    <row r="323" spans="1:6" x14ac:dyDescent="0.2">
      <c r="A323" s="2" vm="1393">
        <f ca="1"/>
        <v>45702</v>
      </c>
      <c r="B323" vm="1817">
        <f ca="1"/>
        <v>96533.440000000002</v>
      </c>
      <c r="C323" vm="1818">
        <f ca="1"/>
        <v>98834.63</v>
      </c>
      <c r="D323" vm="1819">
        <f ca="1"/>
        <v>96309.52</v>
      </c>
      <c r="E323" vm="1820">
        <f ca="1"/>
        <v>97501.29</v>
      </c>
      <c r="F323" s="4">
        <f t="shared" ca="1" si="4"/>
        <v>1.0299635364371304E-2</v>
      </c>
    </row>
    <row r="324" spans="1:6" x14ac:dyDescent="0.2">
      <c r="A324" s="2" vm="1399">
        <f ca="1"/>
        <v>45701</v>
      </c>
      <c r="B324" vm="1821">
        <f ca="1"/>
        <v>97689.05</v>
      </c>
      <c r="C324" vm="1822">
        <f ca="1"/>
        <v>98099.34</v>
      </c>
      <c r="D324" vm="1823">
        <f ca="1"/>
        <v>95284.24</v>
      </c>
      <c r="E324" vm="1824">
        <f ca="1"/>
        <v>96507.3</v>
      </c>
      <c r="F324" s="4">
        <f t="shared" ca="1" si="4"/>
        <v>-1.2039107597899048E-2</v>
      </c>
    </row>
    <row r="325" spans="1:6" x14ac:dyDescent="0.2">
      <c r="A325" s="2" vm="1405">
        <f ca="1"/>
        <v>45700</v>
      </c>
      <c r="B325" vm="1825">
        <f ca="1"/>
        <v>96356.63</v>
      </c>
      <c r="C325" vm="1826">
        <f ca="1"/>
        <v>97925.73</v>
      </c>
      <c r="D325" vm="1827">
        <f ca="1"/>
        <v>94121.16</v>
      </c>
      <c r="E325" vm="1828">
        <f ca="1"/>
        <v>97683.32</v>
      </c>
      <c r="F325" s="4">
        <f t="shared" ca="1" si="4"/>
        <v>1.3372998220640586E-2</v>
      </c>
    </row>
    <row r="326" spans="1:6" x14ac:dyDescent="0.2">
      <c r="A326" s="2" vm="1411">
        <f ca="1"/>
        <v>45699</v>
      </c>
      <c r="B326" vm="1829">
        <f ca="1"/>
        <v>97412.52</v>
      </c>
      <c r="C326" vm="1830">
        <f ca="1"/>
        <v>98497.52</v>
      </c>
      <c r="D326" vm="1831">
        <f ca="1"/>
        <v>94902.07</v>
      </c>
      <c r="E326" vm="1832">
        <f ca="1"/>
        <v>96394.240000000005</v>
      </c>
      <c r="F326" s="4">
        <f t="shared" ca="1" si="4"/>
        <v>-1.0427676829894207E-2</v>
      </c>
    </row>
    <row r="327" spans="1:6" x14ac:dyDescent="0.2">
      <c r="A327" s="2" vm="1418">
        <f ca="1"/>
        <v>45698</v>
      </c>
      <c r="B327" vm="1833">
        <f ca="1"/>
        <v>96101.440000000002</v>
      </c>
      <c r="C327" vm="1834">
        <f ca="1"/>
        <v>98347.49</v>
      </c>
      <c r="D327" vm="1835">
        <f ca="1"/>
        <v>94807.96</v>
      </c>
      <c r="E327" vm="1836">
        <f ca="1"/>
        <v>97410</v>
      </c>
      <c r="F327" s="4">
        <f t="shared" ca="1" si="4"/>
        <v>41596.98437032925</v>
      </c>
    </row>
    <row r="328" spans="1:6" x14ac:dyDescent="0.2">
      <c r="A328" s="2" vm="1837">
        <f ca="1"/>
        <v>45697</v>
      </c>
      <c r="B328" vm="1838">
        <f ca="1"/>
        <v>2.4241000000000001</v>
      </c>
      <c r="C328" vm="1839">
        <f ca="1"/>
        <v>2.5057999999999998</v>
      </c>
      <c r="D328" vm="1840">
        <f ca="1"/>
        <v>2.3123</v>
      </c>
      <c r="E328" vm="1841">
        <f ca="1"/>
        <v>2.3416999999999999</v>
      </c>
      <c r="F328" s="4">
        <f t="shared" ca="1" si="4"/>
        <v>-0.99997561151392322</v>
      </c>
    </row>
    <row r="329" spans="1:6" x14ac:dyDescent="0.2">
      <c r="A329" s="2" vm="1842">
        <f ca="1"/>
        <v>45696</v>
      </c>
      <c r="B329" vm="1843">
        <f ca="1"/>
        <v>96821.23</v>
      </c>
      <c r="C329" vm="1844">
        <f ca="1"/>
        <v>100189.08</v>
      </c>
      <c r="D329" vm="1845">
        <f ca="1"/>
        <v>95695.24</v>
      </c>
      <c r="E329" vm="1846">
        <f ca="1"/>
        <v>96016.62</v>
      </c>
      <c r="F329" s="4">
        <f t="shared" ca="1" si="4"/>
        <v>0</v>
      </c>
    </row>
    <row r="330" spans="1:6" x14ac:dyDescent="0.2">
      <c r="A330" s="2" vm="1425">
        <f ca="1"/>
        <v>45695</v>
      </c>
      <c r="B330" vm="1843">
        <f ca="1"/>
        <v>96821.23</v>
      </c>
      <c r="C330" vm="1844">
        <f ca="1"/>
        <v>100189.08</v>
      </c>
      <c r="D330" vm="1845">
        <f ca="1"/>
        <v>95695.24</v>
      </c>
      <c r="E330" vm="1846">
        <f ca="1"/>
        <v>96016.62</v>
      </c>
      <c r="F330" s="4">
        <f t="shared" ca="1" si="4"/>
        <v>-8.2867059158782033E-3</v>
      </c>
    </row>
    <row r="331" spans="1:6" x14ac:dyDescent="0.2">
      <c r="A331" s="2" vm="1431">
        <f ca="1"/>
        <v>45694</v>
      </c>
      <c r="B331" vm="1847">
        <f ca="1"/>
        <v>96899.92</v>
      </c>
      <c r="C331" vm="1848">
        <f ca="1"/>
        <v>99167.41</v>
      </c>
      <c r="D331" vm="1849">
        <f ca="1"/>
        <v>95759.48</v>
      </c>
      <c r="E331" vm="1850">
        <f ca="1"/>
        <v>96818.93</v>
      </c>
      <c r="F331" s="4">
        <f t="shared" ref="F331:F369" ca="1" si="5">((E331-E332)/E332)</f>
        <v>-1.1377375303070496E-3</v>
      </c>
    </row>
    <row r="332" spans="1:6" x14ac:dyDescent="0.2">
      <c r="A332" s="2" vm="1437">
        <f ca="1"/>
        <v>45693</v>
      </c>
      <c r="B332" vm="1851">
        <f ca="1"/>
        <v>96474.29</v>
      </c>
      <c r="C332" vm="1852">
        <f ca="1"/>
        <v>99143.81</v>
      </c>
      <c r="D332" vm="1853">
        <f ca="1"/>
        <v>96184.53</v>
      </c>
      <c r="E332" vm="1854">
        <f ca="1"/>
        <v>96929.21</v>
      </c>
      <c r="F332" s="4">
        <f t="shared" ca="1" si="5"/>
        <v>4.4073875578888822E-3</v>
      </c>
    </row>
    <row r="333" spans="1:6" x14ac:dyDescent="0.2">
      <c r="A333" s="2" vm="1443">
        <f ca="1"/>
        <v>45692</v>
      </c>
      <c r="B333" vm="1855">
        <f ca="1"/>
        <v>101900.03</v>
      </c>
      <c r="C333" vm="1856">
        <f ca="1"/>
        <v>102523.41</v>
      </c>
      <c r="D333" vm="1857">
        <f ca="1"/>
        <v>96503.88</v>
      </c>
      <c r="E333" vm="1857">
        <f ca="1"/>
        <v>96503.88</v>
      </c>
      <c r="F333" s="4">
        <f t="shared" ca="1" si="5"/>
        <v>-5.2662950636987352E-2</v>
      </c>
    </row>
    <row r="334" spans="1:6" x14ac:dyDescent="0.2">
      <c r="A334" s="2" vm="1449">
        <f ca="1"/>
        <v>45691</v>
      </c>
      <c r="B334" vm="1858">
        <f ca="1"/>
        <v>97062.79</v>
      </c>
      <c r="C334" vm="1859">
        <f ca="1"/>
        <v>102046.86</v>
      </c>
      <c r="D334" vm="1860">
        <f ca="1"/>
        <v>91439.89</v>
      </c>
      <c r="E334" vm="1861">
        <f ca="1"/>
        <v>101868.58</v>
      </c>
      <c r="F334" s="4">
        <f t="shared" ca="1" si="5"/>
        <v>5.0672472760727547E-2</v>
      </c>
    </row>
    <row r="335" spans="1:6" x14ac:dyDescent="0.2">
      <c r="A335" s="2" vm="1862">
        <f ca="1"/>
        <v>45690</v>
      </c>
      <c r="B335" vm="1863">
        <f ca="1"/>
        <v>101203.33</v>
      </c>
      <c r="C335" vm="1864">
        <f ca="1"/>
        <v>101448.31</v>
      </c>
      <c r="D335" vm="1865">
        <f ca="1"/>
        <v>96606.97</v>
      </c>
      <c r="E335" vm="1866">
        <f ca="1"/>
        <v>96955.6</v>
      </c>
      <c r="F335" s="4">
        <f t="shared" ca="1" si="5"/>
        <v>-5.0814935266772061E-2</v>
      </c>
    </row>
    <row r="336" spans="1:6" x14ac:dyDescent="0.2">
      <c r="A336" s="2" vm="1455">
        <f ca="1"/>
        <v>45688</v>
      </c>
      <c r="B336" vm="1867">
        <f ca="1"/>
        <v>105064.16</v>
      </c>
      <c r="C336" vm="1868">
        <f ca="1"/>
        <v>106016.94</v>
      </c>
      <c r="D336" vm="1869">
        <f ca="1"/>
        <v>101566.86</v>
      </c>
      <c r="E336" vm="1870">
        <f ca="1"/>
        <v>102146.15</v>
      </c>
      <c r="F336" s="4">
        <f t="shared" ca="1" si="5"/>
        <v>-2.7639959440158499E-2</v>
      </c>
    </row>
    <row r="337" spans="1:6" x14ac:dyDescent="0.2">
      <c r="A337" s="2" vm="1462">
        <f ca="1"/>
        <v>45687</v>
      </c>
      <c r="B337" vm="1871">
        <f ca="1"/>
        <v>103772.21</v>
      </c>
      <c r="C337" vm="1872">
        <f ca="1"/>
        <v>106440.13</v>
      </c>
      <c r="D337" vm="1873">
        <f ca="1"/>
        <v>103372.74</v>
      </c>
      <c r="E337" vm="1874">
        <f ca="1"/>
        <v>105049.72</v>
      </c>
      <c r="F337" s="4">
        <f t="shared" ca="1" si="5"/>
        <v>1.2395493136701579E-2</v>
      </c>
    </row>
    <row r="338" spans="1:6" x14ac:dyDescent="0.2">
      <c r="A338" s="2" vm="1469">
        <f ca="1"/>
        <v>45686</v>
      </c>
      <c r="B338" vm="1875">
        <f ca="1"/>
        <v>100321.98</v>
      </c>
      <c r="C338" vm="1876">
        <f ca="1"/>
        <v>104774.26</v>
      </c>
      <c r="D338" vm="1877">
        <f ca="1"/>
        <v>100241.01</v>
      </c>
      <c r="E338" vm="1878">
        <f ca="1"/>
        <v>103763.52</v>
      </c>
      <c r="F338" s="4">
        <f t="shared" ca="1" si="5"/>
        <v>3.4275665782405561E-2</v>
      </c>
    </row>
    <row r="339" spans="1:6" x14ac:dyDescent="0.2">
      <c r="A339" s="2" vm="1475">
        <f ca="1"/>
        <v>45685</v>
      </c>
      <c r="B339" vm="1879">
        <f ca="1"/>
        <v>101415.3</v>
      </c>
      <c r="C339" vm="1880">
        <f ca="1"/>
        <v>103661.44</v>
      </c>
      <c r="D339" vm="1881">
        <f ca="1"/>
        <v>100254.05</v>
      </c>
      <c r="E339" vm="1882">
        <f ca="1"/>
        <v>100324.82</v>
      </c>
      <c r="F339" s="4">
        <f t="shared" ca="1" si="5"/>
        <v>-1.0123155404480642E-2</v>
      </c>
    </row>
    <row r="340" spans="1:6" x14ac:dyDescent="0.2">
      <c r="A340" s="2" vm="1481">
        <f ca="1"/>
        <v>45684</v>
      </c>
      <c r="B340" vm="1883">
        <f ca="1"/>
        <v>104926.3</v>
      </c>
      <c r="C340" vm="1884">
        <f ca="1"/>
        <v>105226.44</v>
      </c>
      <c r="D340" vm="1885">
        <f ca="1"/>
        <v>97810.5</v>
      </c>
      <c r="E340" vm="1886">
        <f ca="1"/>
        <v>101350.81</v>
      </c>
      <c r="F340" s="4">
        <f t="shared" ca="1" si="5"/>
        <v>-3.1251379989780177E-2</v>
      </c>
    </row>
    <row r="341" spans="1:6" x14ac:dyDescent="0.2">
      <c r="A341" s="2" vm="1887">
        <f ca="1"/>
        <v>45683</v>
      </c>
      <c r="B341" vm="1888">
        <f ca="1"/>
        <v>105094.59</v>
      </c>
      <c r="C341" vm="1889">
        <f ca="1"/>
        <v>105432.46</v>
      </c>
      <c r="D341" vm="1890">
        <f ca="1"/>
        <v>104467.09</v>
      </c>
      <c r="E341" vm="1891">
        <f ca="1"/>
        <v>104620.34</v>
      </c>
      <c r="F341" s="4">
        <f t="shared" ca="1" si="5"/>
        <v>-4.5985077969692683E-3</v>
      </c>
    </row>
    <row r="342" spans="1:6" x14ac:dyDescent="0.2">
      <c r="A342" s="2" vm="1892">
        <f ca="1"/>
        <v>45682</v>
      </c>
      <c r="B342" vm="1893">
        <f ca="1"/>
        <v>103048.72</v>
      </c>
      <c r="C342" vm="1894">
        <f ca="1"/>
        <v>107114.53</v>
      </c>
      <c r="D342" vm="1895">
        <f ca="1"/>
        <v>102809.91</v>
      </c>
      <c r="E342" vm="1896">
        <f ca="1"/>
        <v>105103.66</v>
      </c>
      <c r="F342" s="4">
        <f t="shared" ca="1" si="5"/>
        <v>0</v>
      </c>
    </row>
    <row r="343" spans="1:6" x14ac:dyDescent="0.2">
      <c r="A343" s="2" vm="1486">
        <f ca="1"/>
        <v>45681</v>
      </c>
      <c r="B343" vm="1893">
        <f ca="1"/>
        <v>103048.72</v>
      </c>
      <c r="C343" vm="1894">
        <f ca="1"/>
        <v>107114.53</v>
      </c>
      <c r="D343" vm="1895">
        <f ca="1"/>
        <v>102809.91</v>
      </c>
      <c r="E343" vm="1896">
        <f ca="1"/>
        <v>105103.66</v>
      </c>
      <c r="F343" s="4">
        <f t="shared" ca="1" si="5"/>
        <v>1.9189377992249474E-2</v>
      </c>
    </row>
    <row r="344" spans="1:6" x14ac:dyDescent="0.2">
      <c r="A344" s="2" vm="1492">
        <f ca="1"/>
        <v>45680</v>
      </c>
      <c r="B344" vm="1897">
        <f ca="1"/>
        <v>104056.06</v>
      </c>
      <c r="C344" vm="1898">
        <f ca="1"/>
        <v>106781.49</v>
      </c>
      <c r="D344" vm="1899">
        <f ca="1"/>
        <v>101259.87</v>
      </c>
      <c r="E344" vm="1900">
        <f ca="1"/>
        <v>103124.76</v>
      </c>
      <c r="F344" s="4">
        <f t="shared" ca="1" si="5"/>
        <v>-9.0802571429505867E-3</v>
      </c>
    </row>
    <row r="345" spans="1:6" x14ac:dyDescent="0.2">
      <c r="A345" s="2" vm="1498">
        <f ca="1"/>
        <v>45679</v>
      </c>
      <c r="B345" vm="1901">
        <f ca="1"/>
        <v>106769.18</v>
      </c>
      <c r="C345" vm="1901">
        <f ca="1"/>
        <v>106769.18</v>
      </c>
      <c r="D345" vm="1902">
        <f ca="1"/>
        <v>103358.35</v>
      </c>
      <c r="E345" vm="1903">
        <f ca="1"/>
        <v>104069.74</v>
      </c>
      <c r="F345" s="4">
        <f t="shared" ca="1" si="5"/>
        <v>-2.5449804686804994E-2</v>
      </c>
    </row>
    <row r="346" spans="1:6" x14ac:dyDescent="0.2">
      <c r="A346" s="2" vm="1505">
        <f ca="1"/>
        <v>45678</v>
      </c>
      <c r="B346" vm="1904">
        <f ca="1"/>
        <v>102522.42</v>
      </c>
      <c r="C346" vm="1905">
        <f ca="1"/>
        <v>107201.71</v>
      </c>
      <c r="D346" vm="1906">
        <f ca="1"/>
        <v>100138.69</v>
      </c>
      <c r="E346" vm="1907">
        <f ca="1"/>
        <v>106787.46</v>
      </c>
      <c r="F346" s="4">
        <f t="shared" ca="1" si="5"/>
        <v>4.1343358057740816E-2</v>
      </c>
    </row>
    <row r="347" spans="1:6" x14ac:dyDescent="0.2">
      <c r="A347" s="2" vm="1512">
        <f ca="1"/>
        <v>45677</v>
      </c>
      <c r="B347" vm="1908">
        <f ca="1"/>
        <v>104999.96</v>
      </c>
      <c r="C347" vm="1909">
        <f ca="1"/>
        <v>109071.86</v>
      </c>
      <c r="D347" vm="1910">
        <f ca="1"/>
        <v>99561.39</v>
      </c>
      <c r="E347" vm="1911">
        <f ca="1"/>
        <v>102547.79</v>
      </c>
      <c r="F347" s="4">
        <f t="shared" ca="1" si="5"/>
        <v>-1.0732744004819704E-2</v>
      </c>
    </row>
    <row r="348" spans="1:6" x14ac:dyDescent="0.2">
      <c r="A348" s="2" vm="1912">
        <f ca="1"/>
        <v>45676</v>
      </c>
      <c r="B348" vm="1913">
        <f ca="1"/>
        <v>103833.52</v>
      </c>
      <c r="C348" vm="1914">
        <f ca="1"/>
        <v>106258.54</v>
      </c>
      <c r="D348" vm="1915">
        <f ca="1"/>
        <v>103443.83</v>
      </c>
      <c r="E348" vm="1916">
        <f ca="1"/>
        <v>103660.35</v>
      </c>
      <c r="F348" s="4">
        <f t="shared" ca="1" si="5"/>
        <v>-9.3840618212593253E-3</v>
      </c>
    </row>
    <row r="349" spans="1:6" x14ac:dyDescent="0.2">
      <c r="A349" s="2" vm="1917">
        <f ca="1"/>
        <v>45675</v>
      </c>
      <c r="B349" vm="1918">
        <f ca="1"/>
        <v>100126.8</v>
      </c>
      <c r="C349" vm="1919">
        <f ca="1"/>
        <v>105878.27</v>
      </c>
      <c r="D349" vm="1920">
        <f ca="1"/>
        <v>99392.68</v>
      </c>
      <c r="E349" vm="1921">
        <f ca="1"/>
        <v>104642.32</v>
      </c>
      <c r="F349" s="4">
        <f t="shared" ca="1" si="5"/>
        <v>0</v>
      </c>
    </row>
    <row r="350" spans="1:6" x14ac:dyDescent="0.2">
      <c r="A350" s="2" vm="1518">
        <f ca="1"/>
        <v>45674</v>
      </c>
      <c r="B350" vm="1918">
        <f ca="1"/>
        <v>100126.8</v>
      </c>
      <c r="C350" vm="1919">
        <f ca="1"/>
        <v>105878.27</v>
      </c>
      <c r="D350" vm="1920">
        <f ca="1"/>
        <v>99392.68</v>
      </c>
      <c r="E350" vm="1921">
        <f ca="1"/>
        <v>104642.32</v>
      </c>
      <c r="F350" s="4">
        <f t="shared" ca="1" si="5"/>
        <v>4.4993753045209597E-2</v>
      </c>
    </row>
    <row r="351" spans="1:6" x14ac:dyDescent="0.2">
      <c r="A351" s="2" vm="1524">
        <f ca="1"/>
        <v>45673</v>
      </c>
      <c r="B351" vm="1922">
        <f ca="1"/>
        <v>99690.13</v>
      </c>
      <c r="C351" vm="1923">
        <f ca="1"/>
        <v>100805.52</v>
      </c>
      <c r="D351" vm="1924">
        <f ca="1"/>
        <v>97392.8</v>
      </c>
      <c r="E351" vm="1925">
        <f ca="1"/>
        <v>100136.79</v>
      </c>
      <c r="F351" s="4">
        <f t="shared" ca="1" si="5"/>
        <v>4.6481767619453111E-3</v>
      </c>
    </row>
    <row r="352" spans="1:6" x14ac:dyDescent="0.2">
      <c r="A352" s="2" vm="1530">
        <f ca="1"/>
        <v>45672</v>
      </c>
      <c r="B352" vm="1926">
        <f ca="1"/>
        <v>96482.94</v>
      </c>
      <c r="C352" vm="1927">
        <f ca="1"/>
        <v>100683.32</v>
      </c>
      <c r="D352" vm="1928">
        <f ca="1"/>
        <v>96436.71</v>
      </c>
      <c r="E352" vm="1929">
        <f ca="1"/>
        <v>99673.49</v>
      </c>
      <c r="F352" s="4">
        <f t="shared" ca="1" si="5"/>
        <v>3.3500223552569756E-2</v>
      </c>
    </row>
    <row r="353" spans="1:6" x14ac:dyDescent="0.2">
      <c r="A353" s="2" vm="1536">
        <f ca="1"/>
        <v>45671</v>
      </c>
      <c r="B353" vm="1930">
        <f ca="1"/>
        <v>94210.61</v>
      </c>
      <c r="C353" vm="1931">
        <f ca="1"/>
        <v>97347.18</v>
      </c>
      <c r="D353" vm="1932">
        <f ca="1"/>
        <v>94169.06</v>
      </c>
      <c r="E353" vm="1933">
        <f ca="1"/>
        <v>96442.64</v>
      </c>
      <c r="F353" s="4">
        <f t="shared" ca="1" si="5"/>
        <v>2.4098140830664784E-2</v>
      </c>
    </row>
    <row r="354" spans="1:6" x14ac:dyDescent="0.2">
      <c r="A354" s="2" vm="1542">
        <f ca="1"/>
        <v>45670</v>
      </c>
      <c r="B354" vm="1934">
        <f ca="1"/>
        <v>95118.1</v>
      </c>
      <c r="C354" vm="1935">
        <f ca="1"/>
        <v>95855.45</v>
      </c>
      <c r="D354" vm="1936">
        <f ca="1"/>
        <v>89612.68</v>
      </c>
      <c r="E354" vm="1937">
        <f ca="1"/>
        <v>94173.24</v>
      </c>
      <c r="F354" s="4">
        <f t="shared" ca="1" si="5"/>
        <v>-1.4921437407416519E-3</v>
      </c>
    </row>
    <row r="355" spans="1:6" x14ac:dyDescent="0.2">
      <c r="A355" s="2" vm="1938">
        <f ca="1"/>
        <v>45669</v>
      </c>
      <c r="B355" vm="1939">
        <f ca="1"/>
        <v>94925.48</v>
      </c>
      <c r="C355" vm="1940">
        <f ca="1"/>
        <v>95361.72</v>
      </c>
      <c r="D355" vm="1941">
        <f ca="1"/>
        <v>93728.76</v>
      </c>
      <c r="E355" vm="1942">
        <f ca="1"/>
        <v>94313.97</v>
      </c>
      <c r="F355" s="4">
        <f t="shared" ca="1" si="5"/>
        <v>-3.4183077802058741E-3</v>
      </c>
    </row>
    <row r="356" spans="1:6" x14ac:dyDescent="0.2">
      <c r="A356" s="2" vm="1943">
        <f ca="1"/>
        <v>45668</v>
      </c>
      <c r="B356" vm="1944">
        <f ca="1"/>
        <v>92114</v>
      </c>
      <c r="C356" vm="1945">
        <f ca="1"/>
        <v>95787.41</v>
      </c>
      <c r="D356" vm="1946">
        <f ca="1"/>
        <v>91681.46</v>
      </c>
      <c r="E356" vm="1947">
        <f ca="1"/>
        <v>94637.47</v>
      </c>
      <c r="F356" s="4">
        <f t="shared" ca="1" si="5"/>
        <v>0</v>
      </c>
    </row>
    <row r="357" spans="1:6" x14ac:dyDescent="0.2">
      <c r="A357" s="2" vm="1549">
        <f ca="1"/>
        <v>45667</v>
      </c>
      <c r="B357" vm="1944">
        <f ca="1"/>
        <v>92114</v>
      </c>
      <c r="C357" vm="1945">
        <f ca="1"/>
        <v>95787.41</v>
      </c>
      <c r="D357" vm="1946">
        <f ca="1"/>
        <v>91681.46</v>
      </c>
      <c r="E357" vm="1947">
        <f ca="1"/>
        <v>94637.47</v>
      </c>
      <c r="F357" s="4">
        <f t="shared" ca="1" si="5"/>
        <v>2.7204274430211475E-2</v>
      </c>
    </row>
    <row r="358" spans="1:6" x14ac:dyDescent="0.2">
      <c r="A358" s="2" vm="1555">
        <f ca="1"/>
        <v>45666</v>
      </c>
      <c r="B358" vm="1948">
        <f ca="1"/>
        <v>94474.61</v>
      </c>
      <c r="C358" vm="1949">
        <f ca="1"/>
        <v>95330.47</v>
      </c>
      <c r="D358" vm="1950">
        <f ca="1"/>
        <v>91262.09</v>
      </c>
      <c r="E358" vm="1951">
        <f ca="1"/>
        <v>92131.11</v>
      </c>
      <c r="F358" s="4">
        <f t="shared" ca="1" si="5"/>
        <v>-2.4846481059143954E-2</v>
      </c>
    </row>
    <row r="359" spans="1:6" x14ac:dyDescent="0.2">
      <c r="A359" s="2" vm="1559">
        <f ca="1"/>
        <v>45665</v>
      </c>
      <c r="B359" vm="1952">
        <f ca="1"/>
        <v>96454.46</v>
      </c>
      <c r="C359" vm="1953">
        <f ca="1"/>
        <v>97265.85</v>
      </c>
      <c r="D359" vm="1954">
        <f ca="1"/>
        <v>92727.94</v>
      </c>
      <c r="E359" vm="1955">
        <f ca="1"/>
        <v>94478.57</v>
      </c>
      <c r="F359" s="4">
        <f t="shared" ca="1" si="5"/>
        <v>-2.1471607591746922E-2</v>
      </c>
    </row>
    <row r="360" spans="1:6" x14ac:dyDescent="0.2">
      <c r="A360" s="2" vm="1565">
        <f ca="1"/>
        <v>45664</v>
      </c>
      <c r="B360" vm="1956">
        <f ca="1"/>
        <v>101653.61</v>
      </c>
      <c r="C360" vm="1957">
        <f ca="1"/>
        <v>102714.45</v>
      </c>
      <c r="D360" vm="1958">
        <f ca="1"/>
        <v>96151.41</v>
      </c>
      <c r="E360" vm="1959">
        <f ca="1"/>
        <v>96551.69</v>
      </c>
      <c r="F360" s="4">
        <f t="shared" ca="1" si="5"/>
        <v>-5.0255226529591003E-2</v>
      </c>
    </row>
    <row r="361" spans="1:6" x14ac:dyDescent="0.2">
      <c r="A361" s="2" vm="1571">
        <f ca="1"/>
        <v>45663</v>
      </c>
      <c r="B361" vm="1960">
        <f ca="1"/>
        <v>97707.83</v>
      </c>
      <c r="C361" vm="1961">
        <f ca="1"/>
        <v>102498.95</v>
      </c>
      <c r="D361" vm="1962">
        <f ca="1"/>
        <v>97670.720000000001</v>
      </c>
      <c r="E361" vm="1963">
        <f ca="1"/>
        <v>101660.67</v>
      </c>
      <c r="F361" s="4">
        <f t="shared" ca="1" si="5"/>
        <v>3.4889787407186505E-2</v>
      </c>
    </row>
    <row r="362" spans="1:6" x14ac:dyDescent="0.2">
      <c r="A362" s="2" vm="1964">
        <f ca="1"/>
        <v>45662</v>
      </c>
      <c r="B362" vm="1965">
        <f ca="1"/>
        <v>98354</v>
      </c>
      <c r="C362" vm="1966">
        <f ca="1"/>
        <v>98481.4</v>
      </c>
      <c r="D362" vm="1967">
        <f ca="1"/>
        <v>97251.53</v>
      </c>
      <c r="E362" vm="1968">
        <f ca="1"/>
        <v>98233.33</v>
      </c>
      <c r="F362" s="4">
        <f t="shared" ca="1" si="5"/>
        <v>4.1026455446580965E-5</v>
      </c>
    </row>
    <row r="363" spans="1:6" x14ac:dyDescent="0.2">
      <c r="A363" s="2" vm="1969">
        <f ca="1"/>
        <v>45661</v>
      </c>
      <c r="B363" vm="1970">
        <f ca="1"/>
        <v>97102.1</v>
      </c>
      <c r="C363" vm="1971">
        <f ca="1"/>
        <v>98984.55</v>
      </c>
      <c r="D363" vm="1972">
        <f ca="1"/>
        <v>93284.25</v>
      </c>
      <c r="E363" vm="1973">
        <f ca="1"/>
        <v>98229.3</v>
      </c>
      <c r="F363" s="4">
        <f t="shared" ca="1" si="5"/>
        <v>0</v>
      </c>
    </row>
    <row r="364" spans="1:6" x14ac:dyDescent="0.2">
      <c r="A364" s="2" vm="1576">
        <f ca="1"/>
        <v>45660</v>
      </c>
      <c r="B364" vm="1970">
        <f ca="1"/>
        <v>97102.1</v>
      </c>
      <c r="C364" vm="1971">
        <f ca="1"/>
        <v>98984.55</v>
      </c>
      <c r="D364" vm="1972">
        <f ca="1"/>
        <v>93284.25</v>
      </c>
      <c r="E364" vm="1973">
        <f ca="1"/>
        <v>98229.3</v>
      </c>
      <c r="F364" s="4">
        <f t="shared" ca="1" si="5"/>
        <v>1.1474025639705534E-2</v>
      </c>
    </row>
    <row r="365" spans="1:6" x14ac:dyDescent="0.2">
      <c r="A365" s="2" vm="1582">
        <f ca="1"/>
        <v>45659</v>
      </c>
      <c r="B365" vm="1974">
        <f ca="1"/>
        <v>94777</v>
      </c>
      <c r="C365" vm="1975">
        <f ca="1"/>
        <v>97744.01</v>
      </c>
      <c r="D365" vm="1976">
        <f ca="1"/>
        <v>94097.07</v>
      </c>
      <c r="E365" vm="1977">
        <f ca="1"/>
        <v>97115</v>
      </c>
      <c r="F365" s="4">
        <f t="shared" ca="1" si="5"/>
        <v>2.4668432214566827E-2</v>
      </c>
    </row>
    <row r="366" spans="1:6" x14ac:dyDescent="0.2">
      <c r="A366" s="2" vm="1589">
        <f ca="1"/>
        <v>45658</v>
      </c>
      <c r="B366" vm="1978">
        <f ca="1"/>
        <v>93700.65</v>
      </c>
      <c r="C366" vm="1979">
        <f ca="1"/>
        <v>95031.14</v>
      </c>
      <c r="D366" vm="1980">
        <f ca="1"/>
        <v>92717.04</v>
      </c>
      <c r="E366" vm="1974">
        <f ca="1"/>
        <v>94777</v>
      </c>
      <c r="F366" s="4">
        <f t="shared" ca="1" si="5"/>
        <v>1.16385883064199E-2</v>
      </c>
    </row>
    <row r="367" spans="1:6" x14ac:dyDescent="0.2">
      <c r="A367" s="2" vm="1596">
        <f ca="1"/>
        <v>45657</v>
      </c>
      <c r="B367" vm="1981">
        <f ca="1"/>
        <v>91923</v>
      </c>
      <c r="C367" vm="1982">
        <f ca="1"/>
        <v>96196.45</v>
      </c>
      <c r="D367" vm="1983">
        <f ca="1"/>
        <v>91794</v>
      </c>
      <c r="E367" vm="1984">
        <f ca="1"/>
        <v>93686.62</v>
      </c>
      <c r="F367" s="4">
        <f t="shared" ca="1" si="5"/>
        <v>1.9185840322878879E-2</v>
      </c>
    </row>
    <row r="368" spans="1:6" x14ac:dyDescent="0.2">
      <c r="A368" s="2" vm="1602">
        <f ca="1"/>
        <v>45656</v>
      </c>
      <c r="B368" vm="1985">
        <f ca="1"/>
        <v>93792</v>
      </c>
      <c r="C368" vm="1986">
        <f ca="1"/>
        <v>95007.72</v>
      </c>
      <c r="D368" vm="1987">
        <f ca="1"/>
        <v>91262.02</v>
      </c>
      <c r="E368" vm="1981">
        <f ca="1"/>
        <v>91923</v>
      </c>
      <c r="F368" s="4" t="e">
        <f t="shared" ca="1" si="5"/>
        <v>#DIV/0!</v>
      </c>
    </row>
    <row r="369" spans="1:6" x14ac:dyDescent="0.2">
      <c r="A369" s="2"/>
      <c r="B369"/>
      <c r="C369"/>
      <c r="D369"/>
      <c r="E369"/>
      <c r="F369" s="4" t="e">
        <f t="shared" si="5"/>
        <v>#DIV/0!</v>
      </c>
    </row>
  </sheetData>
  <mergeCells count="1">
    <mergeCell ref="D7:E7"/>
  </mergeCells>
  <conditionalFormatting sqref="F10:G269 F270:F369">
    <cfRule type="cellIs" dxfId="26" priority="7" operator="lessThan">
      <formula>0</formula>
    </cfRule>
    <cfRule type="cellIs" dxfId="25" priority="8" operator="greaterThan">
      <formula>0</formula>
    </cfRule>
  </conditionalFormatting>
  <conditionalFormatting sqref="F7:H7">
    <cfRule type="cellIs" dxfId="24" priority="3" operator="lessThan">
      <formula>0</formula>
    </cfRule>
    <cfRule type="cellIs" dxfId="23" priority="4" operator="greaterThan">
      <formula>0</formula>
    </cfRule>
  </conditionalFormatting>
  <conditionalFormatting sqref="J7">
    <cfRule type="cellIs" dxfId="22" priority="1" operator="lessThan">
      <formula>0</formula>
    </cfRule>
    <cfRule type="cellIs" dxfId="21" priority="2" operator="greaterThan">
      <formula>0</formula>
    </cfRule>
  </conditionalFormatting>
  <dataValidations count="1">
    <dataValidation type="list" allowBlank="1" showInputMessage="1" showErrorMessage="1" sqref="B7" xr:uid="{DC2F3C26-3EF7-3546-86FC-8F284C7EC702}">
      <formula1>$A$2:$A$4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7CCC1-810F-444A-A922-FA22C8141937}">
  <sheetPr codeName="Sheet2"/>
  <dimension ref="A1:M361"/>
  <sheetViews>
    <sheetView workbookViewId="0">
      <selection activeCell="H20" sqref="H20"/>
    </sheetView>
  </sheetViews>
  <sheetFormatPr baseColWidth="10" defaultRowHeight="16" x14ac:dyDescent="0.2"/>
  <cols>
    <col min="2" max="2" width="12.33203125" bestFit="1" customWidth="1"/>
    <col min="5" max="5" width="17.5" bestFit="1" customWidth="1"/>
    <col min="8" max="8" width="13" bestFit="1" customWidth="1"/>
    <col min="9" max="9" width="10.83203125" style="12"/>
  </cols>
  <sheetData>
    <row r="1" spans="1:13" x14ac:dyDescent="0.2">
      <c r="A1" t="s">
        <v>10</v>
      </c>
      <c r="B1" t="s">
        <v>7</v>
      </c>
      <c r="C1" t="s">
        <v>6</v>
      </c>
      <c r="E1" t="s">
        <v>13</v>
      </c>
      <c r="F1" s="5">
        <f>AVERAGE(C3:C360)*COUNT(A3:A360)</f>
        <v>-4.880631912515699E-2</v>
      </c>
      <c r="H1" t="s">
        <v>14</v>
      </c>
      <c r="J1" s="13" t="s">
        <v>17</v>
      </c>
      <c r="K1" s="13"/>
      <c r="L1" s="13"/>
      <c r="M1" s="13"/>
    </row>
    <row r="2" spans="1:13" x14ac:dyDescent="0.2">
      <c r="A2" vm="1602">
        <v>45656</v>
      </c>
      <c r="B2" vm="1981">
        <v>91923</v>
      </c>
      <c r="C2" s="5" t="s">
        <v>11</v>
      </c>
      <c r="H2" s="8">
        <v>1.7000000000000001E-2</v>
      </c>
    </row>
    <row r="3" spans="1:13" x14ac:dyDescent="0.2">
      <c r="A3" vm="1596">
        <v>45657</v>
      </c>
      <c r="B3" vm="1984">
        <v>93686.62</v>
      </c>
      <c r="C3" s="5">
        <f>LN(B3/B2)</f>
        <v>1.9004112806442982E-2</v>
      </c>
      <c r="E3" s="11" t="s">
        <v>9</v>
      </c>
      <c r="F3" s="10">
        <f>_xlfn.STDEV.S(C2:C360)</f>
        <v>2.2909959033834797E-2</v>
      </c>
    </row>
    <row r="4" spans="1:13" x14ac:dyDescent="0.2">
      <c r="A4" vm="1589">
        <v>45658</v>
      </c>
      <c r="B4" vm="1974">
        <v>94777</v>
      </c>
      <c r="C4" s="5">
        <f t="shared" ref="C4:C67" si="0">LN(B4/B3)</f>
        <v>1.1571380901106163E-2</v>
      </c>
      <c r="E4" s="11" t="s">
        <v>12</v>
      </c>
      <c r="F4" s="10">
        <f>Sigma*SQRT(COUNT(A2:A361))</f>
        <v>0.4340817596174526</v>
      </c>
      <c r="J4" s="14" t="s">
        <v>12</v>
      </c>
      <c r="K4" s="14"/>
      <c r="L4" s="10" cm="1">
        <f t="array" ref="L4">Historical_Volatility(B2:B360)</f>
        <v>0.4376941527712882</v>
      </c>
    </row>
    <row r="5" spans="1:13" x14ac:dyDescent="0.2">
      <c r="A5" vm="1582">
        <v>45659</v>
      </c>
      <c r="B5" vm="1977">
        <v>97115</v>
      </c>
      <c r="C5" s="5">
        <f t="shared" si="0"/>
        <v>2.4369079492906325E-2</v>
      </c>
    </row>
    <row r="6" spans="1:13" x14ac:dyDescent="0.2">
      <c r="A6" vm="1576">
        <v>45660</v>
      </c>
      <c r="B6" vm="1973">
        <v>98229.3</v>
      </c>
      <c r="C6" s="5">
        <f t="shared" si="0"/>
        <v>1.1408698244744943E-2</v>
      </c>
      <c r="E6" t="s">
        <v>15</v>
      </c>
      <c r="F6" s="9">
        <f>(F1-H2)/F4</f>
        <v>-0.15159890427819581</v>
      </c>
    </row>
    <row r="7" spans="1:13" x14ac:dyDescent="0.2">
      <c r="A7" vm="1969">
        <v>45661</v>
      </c>
      <c r="B7" vm="1973">
        <v>98229.3</v>
      </c>
      <c r="C7" s="5">
        <f t="shared" si="0"/>
        <v>0</v>
      </c>
    </row>
    <row r="8" spans="1:13" x14ac:dyDescent="0.2">
      <c r="A8" vm="1964">
        <v>45662</v>
      </c>
      <c r="B8" vm="1968">
        <v>98233.33</v>
      </c>
      <c r="C8" s="5">
        <f t="shared" si="0"/>
        <v>4.1025613884674134E-5</v>
      </c>
    </row>
    <row r="9" spans="1:13" x14ac:dyDescent="0.2">
      <c r="A9" vm="1571">
        <v>45663</v>
      </c>
      <c r="B9" vm="1963">
        <v>101660.67</v>
      </c>
      <c r="C9" s="5">
        <f t="shared" si="0"/>
        <v>3.4294935450417459E-2</v>
      </c>
    </row>
    <row r="10" spans="1:13" x14ac:dyDescent="0.2">
      <c r="A10" vm="1565">
        <v>45664</v>
      </c>
      <c r="B10" vm="1959">
        <v>96551.69</v>
      </c>
      <c r="C10" s="5">
        <f t="shared" si="0"/>
        <v>-5.1561989987813021E-2</v>
      </c>
    </row>
    <row r="11" spans="1:13" x14ac:dyDescent="0.2">
      <c r="A11" vm="1559">
        <v>45665</v>
      </c>
      <c r="B11" vm="1955">
        <v>94478.57</v>
      </c>
      <c r="C11" s="5">
        <f t="shared" si="0"/>
        <v>-2.170547630917392E-2</v>
      </c>
    </row>
    <row r="12" spans="1:13" x14ac:dyDescent="0.2">
      <c r="A12" vm="1555">
        <v>45666</v>
      </c>
      <c r="B12" vm="1951">
        <v>92131.11</v>
      </c>
      <c r="C12" s="5">
        <f t="shared" si="0"/>
        <v>-2.5160365055123458E-2</v>
      </c>
    </row>
    <row r="13" spans="1:13" x14ac:dyDescent="0.2">
      <c r="A13" vm="1549">
        <v>45667</v>
      </c>
      <c r="B13" vm="1947">
        <v>94637.47</v>
      </c>
      <c r="C13" s="5">
        <f t="shared" si="0"/>
        <v>2.6840815189266454E-2</v>
      </c>
    </row>
    <row r="14" spans="1:13" x14ac:dyDescent="0.2">
      <c r="A14" vm="1943">
        <v>45668</v>
      </c>
      <c r="B14" vm="1947">
        <v>94637.47</v>
      </c>
      <c r="C14" s="5">
        <f t="shared" si="0"/>
        <v>0</v>
      </c>
    </row>
    <row r="15" spans="1:13" x14ac:dyDescent="0.2">
      <c r="A15" vm="1938">
        <v>45669</v>
      </c>
      <c r="B15" vm="1942">
        <v>94313.97</v>
      </c>
      <c r="C15" s="5">
        <f t="shared" si="0"/>
        <v>-3.4241635425863422E-3</v>
      </c>
    </row>
    <row r="16" spans="1:13" x14ac:dyDescent="0.2">
      <c r="A16" vm="1542">
        <v>45670</v>
      </c>
      <c r="B16" vm="1937">
        <v>94173.24</v>
      </c>
      <c r="C16" s="5">
        <f t="shared" si="0"/>
        <v>-1.4932580958698441E-3</v>
      </c>
    </row>
    <row r="17" spans="1:3" x14ac:dyDescent="0.2">
      <c r="A17" vm="1536">
        <v>45671</v>
      </c>
      <c r="B17" vm="1933">
        <v>96442.64</v>
      </c>
      <c r="C17" s="5">
        <f t="shared" si="0"/>
        <v>2.3812362679840049E-2</v>
      </c>
    </row>
    <row r="18" spans="1:3" x14ac:dyDescent="0.2">
      <c r="A18" vm="1530">
        <v>45672</v>
      </c>
      <c r="B18" vm="1929">
        <v>99673.49</v>
      </c>
      <c r="C18" s="5">
        <f t="shared" si="0"/>
        <v>3.2951316445970831E-2</v>
      </c>
    </row>
    <row r="19" spans="1:3" x14ac:dyDescent="0.2">
      <c r="A19" vm="1524">
        <v>45673</v>
      </c>
      <c r="B19" vm="1925">
        <v>100136.79</v>
      </c>
      <c r="C19" s="5">
        <f t="shared" si="0"/>
        <v>4.6374073475399964E-3</v>
      </c>
    </row>
    <row r="20" spans="1:3" x14ac:dyDescent="0.2">
      <c r="A20" vm="1518">
        <v>45674</v>
      </c>
      <c r="B20" vm="1921">
        <v>104642.32</v>
      </c>
      <c r="C20" s="5">
        <f t="shared" si="0"/>
        <v>4.4010907451738468E-2</v>
      </c>
    </row>
    <row r="21" spans="1:3" x14ac:dyDescent="0.2">
      <c r="A21" vm="1917">
        <v>45675</v>
      </c>
      <c r="B21" vm="1921">
        <v>104642.32</v>
      </c>
      <c r="C21" s="5">
        <f t="shared" si="0"/>
        <v>0</v>
      </c>
    </row>
    <row r="22" spans="1:3" x14ac:dyDescent="0.2">
      <c r="A22" vm="1912">
        <v>45676</v>
      </c>
      <c r="B22" vm="1916">
        <v>103660.35</v>
      </c>
      <c r="C22" s="5">
        <f t="shared" si="0"/>
        <v>-9.4283695381510765E-3</v>
      </c>
    </row>
    <row r="23" spans="1:3" x14ac:dyDescent="0.2">
      <c r="A23" vm="1512">
        <v>45677</v>
      </c>
      <c r="B23" vm="1911">
        <v>102547.79</v>
      </c>
      <c r="C23" s="5">
        <f t="shared" si="0"/>
        <v>-1.0790755355795248E-2</v>
      </c>
    </row>
    <row r="24" spans="1:3" x14ac:dyDescent="0.2">
      <c r="A24" vm="1505">
        <v>45678</v>
      </c>
      <c r="B24" vm="1907">
        <v>106787.46</v>
      </c>
      <c r="C24" s="5">
        <f t="shared" si="0"/>
        <v>4.0511570079004751E-2</v>
      </c>
    </row>
    <row r="25" spans="1:3" x14ac:dyDescent="0.2">
      <c r="A25" vm="1498">
        <v>45679</v>
      </c>
      <c r="B25" vm="1903">
        <v>104069.74</v>
      </c>
      <c r="C25" s="5">
        <f t="shared" si="0"/>
        <v>-2.5779252573783207E-2</v>
      </c>
    </row>
    <row r="26" spans="1:3" x14ac:dyDescent="0.2">
      <c r="A26" vm="1492">
        <v>45680</v>
      </c>
      <c r="B26" vm="1900">
        <v>103124.76</v>
      </c>
      <c r="C26" s="5">
        <f t="shared" si="0"/>
        <v>-9.1217339487981285E-3</v>
      </c>
    </row>
    <row r="27" spans="1:3" x14ac:dyDescent="0.2">
      <c r="A27" vm="1486">
        <v>45681</v>
      </c>
      <c r="B27" vm="1896">
        <v>105103.66</v>
      </c>
      <c r="C27" s="5">
        <f t="shared" si="0"/>
        <v>1.9007583874319764E-2</v>
      </c>
    </row>
    <row r="28" spans="1:3" x14ac:dyDescent="0.2">
      <c r="A28" vm="1892">
        <v>45682</v>
      </c>
      <c r="B28" vm="1896">
        <v>105103.66</v>
      </c>
      <c r="C28" s="5">
        <f t="shared" si="0"/>
        <v>0</v>
      </c>
    </row>
    <row r="29" spans="1:3" x14ac:dyDescent="0.2">
      <c r="A29" vm="1887">
        <v>45683</v>
      </c>
      <c r="B29" vm="1891">
        <v>104620.34</v>
      </c>
      <c r="C29" s="5">
        <f t="shared" si="0"/>
        <v>-4.6091134599212605E-3</v>
      </c>
    </row>
    <row r="30" spans="1:3" x14ac:dyDescent="0.2">
      <c r="A30" vm="1481">
        <v>45684</v>
      </c>
      <c r="B30" vm="1886">
        <v>101350.81</v>
      </c>
      <c r="C30" s="5">
        <f t="shared" si="0"/>
        <v>-3.1750122821174495E-2</v>
      </c>
    </row>
    <row r="31" spans="1:3" x14ac:dyDescent="0.2">
      <c r="A31" vm="1475">
        <v>45685</v>
      </c>
      <c r="B31" vm="1882">
        <v>100324.82</v>
      </c>
      <c r="C31" s="5">
        <f t="shared" si="0"/>
        <v>-1.0174742990213636E-2</v>
      </c>
    </row>
    <row r="32" spans="1:3" x14ac:dyDescent="0.2">
      <c r="A32" vm="1469">
        <v>45686</v>
      </c>
      <c r="B32" vm="1878">
        <v>103763.52</v>
      </c>
      <c r="C32" s="5">
        <f t="shared" si="0"/>
        <v>3.3701341891365248E-2</v>
      </c>
    </row>
    <row r="33" spans="1:3" x14ac:dyDescent="0.2">
      <c r="A33" vm="1462">
        <v>45687</v>
      </c>
      <c r="B33" vm="1874">
        <v>105049.72</v>
      </c>
      <c r="C33" s="5">
        <f t="shared" si="0"/>
        <v>1.2319298016242132E-2</v>
      </c>
    </row>
    <row r="34" spans="1:3" x14ac:dyDescent="0.2">
      <c r="A34" vm="1455">
        <v>45688</v>
      </c>
      <c r="B34" vm="1870">
        <v>102146.15</v>
      </c>
      <c r="C34" s="5">
        <f t="shared" si="0"/>
        <v>-2.8029131008720912E-2</v>
      </c>
    </row>
    <row r="35" spans="1:3" x14ac:dyDescent="0.2">
      <c r="A35" vm="1862">
        <v>45690</v>
      </c>
      <c r="B35" vm="1866">
        <v>96955.6</v>
      </c>
      <c r="C35" s="5">
        <f t="shared" si="0"/>
        <v>-5.2151489127938357E-2</v>
      </c>
    </row>
    <row r="36" spans="1:3" x14ac:dyDescent="0.2">
      <c r="A36" vm="1449">
        <v>45691</v>
      </c>
      <c r="B36" vm="1861">
        <v>101868.58</v>
      </c>
      <c r="C36" s="5">
        <f t="shared" si="0"/>
        <v>4.9430409417007479E-2</v>
      </c>
    </row>
    <row r="37" spans="1:3" x14ac:dyDescent="0.2">
      <c r="A37" vm="1443">
        <v>45692</v>
      </c>
      <c r="B37" vm="1857">
        <v>96503.88</v>
      </c>
      <c r="C37" s="5">
        <f t="shared" si="0"/>
        <v>-5.4100336379839367E-2</v>
      </c>
    </row>
    <row r="38" spans="1:3" x14ac:dyDescent="0.2">
      <c r="A38" vm="1437">
        <v>45693</v>
      </c>
      <c r="B38" vm="1854">
        <v>96929.21</v>
      </c>
      <c r="C38" s="5">
        <f t="shared" si="0"/>
        <v>4.3977034692743869E-3</v>
      </c>
    </row>
    <row r="39" spans="1:3" x14ac:dyDescent="0.2">
      <c r="A39" vm="1431">
        <v>45694</v>
      </c>
      <c r="B39" vm="1850">
        <v>96818.93</v>
      </c>
      <c r="C39" s="5">
        <f t="shared" si="0"/>
        <v>-1.1383852449838438E-3</v>
      </c>
    </row>
    <row r="40" spans="1:3" x14ac:dyDescent="0.2">
      <c r="A40" vm="1425">
        <v>45695</v>
      </c>
      <c r="B40" vm="1846">
        <v>96016.62</v>
      </c>
      <c r="C40" s="5">
        <f t="shared" si="0"/>
        <v>-8.3212315313940764E-3</v>
      </c>
    </row>
    <row r="41" spans="1:3" x14ac:dyDescent="0.2">
      <c r="A41" vm="1842">
        <v>45696</v>
      </c>
      <c r="B41" vm="1846">
        <v>96016.62</v>
      </c>
      <c r="C41" s="5">
        <f t="shared" si="0"/>
        <v>0</v>
      </c>
    </row>
    <row r="42" spans="1:3" x14ac:dyDescent="0.2">
      <c r="A42" vm="1837">
        <v>45697</v>
      </c>
      <c r="B42" vm="1836">
        <v>97410</v>
      </c>
      <c r="C42" s="5">
        <f t="shared" si="0"/>
        <v>1.4407573299431577E-2</v>
      </c>
    </row>
    <row r="43" spans="1:3" x14ac:dyDescent="0.2">
      <c r="A43" vm="1418">
        <v>45698</v>
      </c>
      <c r="B43" vm="1836">
        <v>97410</v>
      </c>
      <c r="C43" s="5">
        <f t="shared" si="0"/>
        <v>0</v>
      </c>
    </row>
    <row r="44" spans="1:3" x14ac:dyDescent="0.2">
      <c r="A44" vm="1411">
        <v>45699</v>
      </c>
      <c r="B44" vm="1832">
        <v>96394.240000000005</v>
      </c>
      <c r="C44" s="5">
        <f t="shared" si="0"/>
        <v>-1.048242598887303E-2</v>
      </c>
    </row>
    <row r="45" spans="1:3" x14ac:dyDescent="0.2">
      <c r="A45" vm="1405">
        <v>45700</v>
      </c>
      <c r="B45" vm="1828">
        <v>97683.32</v>
      </c>
      <c r="C45" s="5">
        <f t="shared" si="0"/>
        <v>1.3284368964849413E-2</v>
      </c>
    </row>
    <row r="46" spans="1:3" x14ac:dyDescent="0.2">
      <c r="A46" vm="1399">
        <v>45701</v>
      </c>
      <c r="B46" vm="1824">
        <v>96507.3</v>
      </c>
      <c r="C46" s="5">
        <f t="shared" si="0"/>
        <v>-1.2112164606647241E-2</v>
      </c>
    </row>
    <row r="47" spans="1:3" x14ac:dyDescent="0.2">
      <c r="A47" vm="1393">
        <v>45702</v>
      </c>
      <c r="B47" vm="1820">
        <v>97501.29</v>
      </c>
      <c r="C47" s="5">
        <f t="shared" si="0"/>
        <v>1.0246955533312953E-2</v>
      </c>
    </row>
    <row r="48" spans="1:3" x14ac:dyDescent="0.2">
      <c r="A48" vm="1812">
        <v>45704</v>
      </c>
      <c r="B48" vm="1816">
        <v>97173.52</v>
      </c>
      <c r="C48" s="5">
        <f t="shared" si="0"/>
        <v>-3.3673623178961092E-3</v>
      </c>
    </row>
    <row r="49" spans="1:3" x14ac:dyDescent="0.2">
      <c r="A49" vm="1387">
        <v>45705</v>
      </c>
      <c r="B49" vm="1811">
        <v>96439.03</v>
      </c>
      <c r="C49" s="5">
        <f t="shared" si="0"/>
        <v>-7.5872511724147419E-3</v>
      </c>
    </row>
    <row r="50" spans="1:3" x14ac:dyDescent="0.2">
      <c r="A50" vm="1381">
        <v>45706</v>
      </c>
      <c r="B50" vm="1807">
        <v>95038.01</v>
      </c>
      <c r="C50" s="5">
        <f t="shared" si="0"/>
        <v>-1.4634078352263937E-2</v>
      </c>
    </row>
    <row r="51" spans="1:3" x14ac:dyDescent="0.2">
      <c r="A51" vm="1374">
        <v>45707</v>
      </c>
      <c r="B51" vm="1803">
        <v>96317.06</v>
      </c>
      <c r="C51" s="5">
        <f t="shared" si="0"/>
        <v>1.3368540995921127E-2</v>
      </c>
    </row>
    <row r="52" spans="1:3" x14ac:dyDescent="0.2">
      <c r="A52" vm="1367">
        <v>45708</v>
      </c>
      <c r="B52" vm="1799">
        <v>98136.13</v>
      </c>
      <c r="C52" s="5">
        <f t="shared" si="0"/>
        <v>1.8710138582984464E-2</v>
      </c>
    </row>
    <row r="53" spans="1:3" x14ac:dyDescent="0.2">
      <c r="A53" vm="1361">
        <v>45709</v>
      </c>
      <c r="B53" vm="1796">
        <v>95355.42</v>
      </c>
      <c r="C53" s="5">
        <f t="shared" si="0"/>
        <v>-2.8744422781694107E-2</v>
      </c>
    </row>
    <row r="54" spans="1:3" x14ac:dyDescent="0.2">
      <c r="A54" vm="1792">
        <v>45710</v>
      </c>
      <c r="B54" vm="1796">
        <v>95355.42</v>
      </c>
      <c r="C54" s="5">
        <f t="shared" si="0"/>
        <v>0</v>
      </c>
    </row>
    <row r="55" spans="1:3" x14ac:dyDescent="0.2">
      <c r="A55" vm="1355">
        <v>45712</v>
      </c>
      <c r="B55" vm="1791">
        <v>93978.86</v>
      </c>
      <c r="C55" s="5">
        <f t="shared" si="0"/>
        <v>-1.4541310279522157E-2</v>
      </c>
    </row>
    <row r="56" spans="1:3" x14ac:dyDescent="0.2">
      <c r="A56" vm="1349">
        <v>45713</v>
      </c>
      <c r="B56" vm="1787">
        <v>88680.81</v>
      </c>
      <c r="C56" s="5">
        <f t="shared" si="0"/>
        <v>-5.8026344689407344E-2</v>
      </c>
    </row>
    <row r="57" spans="1:3" x14ac:dyDescent="0.2">
      <c r="A57" vm="1343">
        <v>45714</v>
      </c>
      <c r="B57" vm="1784">
        <v>84454.71</v>
      </c>
      <c r="C57" s="5">
        <f t="shared" si="0"/>
        <v>-4.8828104326104321E-2</v>
      </c>
    </row>
    <row r="58" spans="1:3" x14ac:dyDescent="0.2">
      <c r="A58" vm="1337">
        <v>45715</v>
      </c>
      <c r="B58" vm="1780">
        <v>84294.48</v>
      </c>
      <c r="C58" s="5">
        <f t="shared" si="0"/>
        <v>-1.8990319082826106E-3</v>
      </c>
    </row>
    <row r="59" spans="1:3" x14ac:dyDescent="0.2">
      <c r="A59" vm="1330">
        <v>45716</v>
      </c>
      <c r="B59" vm="1776">
        <v>84252.78</v>
      </c>
      <c r="C59" s="5">
        <f t="shared" si="0"/>
        <v>-4.9481671610475766E-4</v>
      </c>
    </row>
    <row r="60" spans="1:3" x14ac:dyDescent="0.2">
      <c r="A60" vm="1772">
        <v>45717</v>
      </c>
      <c r="B60" vm="1776">
        <v>84252.78</v>
      </c>
      <c r="C60" s="5">
        <f t="shared" si="0"/>
        <v>0</v>
      </c>
    </row>
    <row r="61" spans="1:3" x14ac:dyDescent="0.2">
      <c r="A61" vm="1767">
        <v>45718</v>
      </c>
      <c r="B61" vm="1771">
        <v>94284.67</v>
      </c>
      <c r="C61" s="5">
        <f t="shared" si="0"/>
        <v>0.1124970444255235</v>
      </c>
    </row>
    <row r="62" spans="1:3" x14ac:dyDescent="0.2">
      <c r="A62" vm="1323">
        <v>45719</v>
      </c>
      <c r="B62" vm="1766">
        <v>85290.62</v>
      </c>
      <c r="C62" s="5">
        <f t="shared" si="0"/>
        <v>-0.10025412652519899</v>
      </c>
    </row>
    <row r="63" spans="1:3" x14ac:dyDescent="0.2">
      <c r="A63" vm="1317">
        <v>45720</v>
      </c>
      <c r="B63" vm="1762">
        <v>87516.17</v>
      </c>
      <c r="C63" s="5">
        <f t="shared" si="0"/>
        <v>2.5759092669105574E-2</v>
      </c>
    </row>
    <row r="64" spans="1:3" x14ac:dyDescent="0.2">
      <c r="A64" vm="1311">
        <v>45721</v>
      </c>
      <c r="B64" vm="1758">
        <v>90406.99</v>
      </c>
      <c r="C64" s="5">
        <f t="shared" si="0"/>
        <v>3.2498011127558506E-2</v>
      </c>
    </row>
    <row r="65" spans="1:3" x14ac:dyDescent="0.2">
      <c r="A65" vm="1305">
        <v>45722</v>
      </c>
      <c r="B65" vm="1754">
        <v>89475.1</v>
      </c>
      <c r="C65" s="5">
        <f t="shared" si="0"/>
        <v>-1.0361213135622596E-2</v>
      </c>
    </row>
    <row r="66" spans="1:3" x14ac:dyDescent="0.2">
      <c r="A66" vm="1300">
        <v>45723</v>
      </c>
      <c r="B66" vm="1750">
        <v>86273.68</v>
      </c>
      <c r="C66" s="5">
        <f t="shared" si="0"/>
        <v>-3.6435805328134556E-2</v>
      </c>
    </row>
    <row r="67" spans="1:3" x14ac:dyDescent="0.2">
      <c r="A67" vm="1742">
        <v>45724</v>
      </c>
      <c r="B67" vm="1746">
        <v>86206.18</v>
      </c>
      <c r="C67" s="5">
        <f t="shared" si="0"/>
        <v>-7.8270011868035059E-4</v>
      </c>
    </row>
    <row r="68" spans="1:3" x14ac:dyDescent="0.2">
      <c r="A68" vm="1737">
        <v>45725</v>
      </c>
      <c r="B68" vm="1741">
        <v>83080.22</v>
      </c>
      <c r="C68" s="5">
        <f t="shared" ref="C68:C131" si="1">LN(B68/B67)</f>
        <v>-3.6935221780795412E-2</v>
      </c>
    </row>
    <row r="69" spans="1:3" x14ac:dyDescent="0.2">
      <c r="A69" vm="1294">
        <v>45726</v>
      </c>
      <c r="B69" vm="1736">
        <v>79277</v>
      </c>
      <c r="C69" s="5">
        <f t="shared" si="1"/>
        <v>-4.6858598313803207E-2</v>
      </c>
    </row>
    <row r="70" spans="1:3" x14ac:dyDescent="0.2">
      <c r="A70" vm="1287">
        <v>45727</v>
      </c>
      <c r="B70" vm="1732">
        <v>82815</v>
      </c>
      <c r="C70" s="5">
        <f t="shared" si="1"/>
        <v>4.3661155663443058E-2</v>
      </c>
    </row>
    <row r="71" spans="1:3" x14ac:dyDescent="0.2">
      <c r="A71" vm="1280">
        <v>45728</v>
      </c>
      <c r="B71" vm="1728">
        <v>83142.92</v>
      </c>
      <c r="C71" s="5">
        <f t="shared" si="1"/>
        <v>3.9518502854667681E-3</v>
      </c>
    </row>
    <row r="72" spans="1:3" x14ac:dyDescent="0.2">
      <c r="A72" vm="1274">
        <v>45729</v>
      </c>
      <c r="B72" vm="1724">
        <v>80350.460000000006</v>
      </c>
      <c r="C72" s="5">
        <f t="shared" si="1"/>
        <v>-3.4163237569121006E-2</v>
      </c>
    </row>
    <row r="73" spans="1:3" x14ac:dyDescent="0.2">
      <c r="A73" vm="1268">
        <v>45730</v>
      </c>
      <c r="B73" vm="1720">
        <v>84175.66</v>
      </c>
      <c r="C73" s="5">
        <f t="shared" si="1"/>
        <v>4.6507988703776759E-2</v>
      </c>
    </row>
    <row r="74" spans="1:3" x14ac:dyDescent="0.2">
      <c r="A74" vm="1712">
        <v>45731</v>
      </c>
      <c r="B74" vm="1716">
        <v>84406.38</v>
      </c>
      <c r="C74" s="5">
        <f t="shared" si="1"/>
        <v>2.7371853377702216E-3</v>
      </c>
    </row>
    <row r="75" spans="1:3" x14ac:dyDescent="0.2">
      <c r="A75" vm="1707">
        <v>45732</v>
      </c>
      <c r="B75" vm="1711">
        <v>83234.83</v>
      </c>
      <c r="C75" s="5">
        <f t="shared" si="1"/>
        <v>-1.3977101128165571E-2</v>
      </c>
    </row>
    <row r="76" spans="1:3" x14ac:dyDescent="0.2">
      <c r="A76" vm="1262">
        <v>45733</v>
      </c>
      <c r="B76" vm="1706">
        <v>83974.87</v>
      </c>
      <c r="C76" s="5">
        <f t="shared" si="1"/>
        <v>8.851697383527769E-3</v>
      </c>
    </row>
    <row r="77" spans="1:3" x14ac:dyDescent="0.2">
      <c r="A77" vm="1256">
        <v>45734</v>
      </c>
      <c r="B77" vm="1702">
        <v>82014.679999999993</v>
      </c>
      <c r="C77" s="5">
        <f t="shared" si="1"/>
        <v>-2.3619331785829322E-2</v>
      </c>
    </row>
    <row r="78" spans="1:3" x14ac:dyDescent="0.2">
      <c r="A78" vm="1250">
        <v>45735</v>
      </c>
      <c r="B78" vm="1698">
        <v>85375.679999999993</v>
      </c>
      <c r="C78" s="5">
        <f t="shared" si="1"/>
        <v>4.0163027088599458E-2</v>
      </c>
    </row>
    <row r="79" spans="1:3" x14ac:dyDescent="0.2">
      <c r="A79" vm="1243">
        <v>45736</v>
      </c>
      <c r="B79" vm="1694">
        <v>84511.88</v>
      </c>
      <c r="C79" s="5">
        <f t="shared" si="1"/>
        <v>-1.0169166523127009E-2</v>
      </c>
    </row>
    <row r="80" spans="1:3" x14ac:dyDescent="0.2">
      <c r="A80" vm="1236">
        <v>45737</v>
      </c>
      <c r="B80" vm="1690">
        <v>84177.600000000006</v>
      </c>
      <c r="C80" s="5">
        <f t="shared" si="1"/>
        <v>-3.963263596014577E-3</v>
      </c>
    </row>
    <row r="81" spans="1:3" x14ac:dyDescent="0.2">
      <c r="A81" vm="1683">
        <v>45738</v>
      </c>
      <c r="B81" vm="1686">
        <v>83942.15</v>
      </c>
      <c r="C81" s="5">
        <f t="shared" si="1"/>
        <v>-2.8009814901008077E-3</v>
      </c>
    </row>
    <row r="82" spans="1:3" x14ac:dyDescent="0.2">
      <c r="A82" vm="1678">
        <v>45739</v>
      </c>
      <c r="B82" vm="1682">
        <v>85152.85</v>
      </c>
      <c r="C82" s="5">
        <f t="shared" si="1"/>
        <v>1.4320005784125072E-2</v>
      </c>
    </row>
    <row r="83" spans="1:3" x14ac:dyDescent="0.2">
      <c r="A83" vm="1230">
        <v>45740</v>
      </c>
      <c r="B83" vm="1677">
        <v>87896.62</v>
      </c>
      <c r="C83" s="5">
        <f t="shared" si="1"/>
        <v>3.1713474269520342E-2</v>
      </c>
    </row>
    <row r="84" spans="1:3" x14ac:dyDescent="0.2">
      <c r="A84" vm="1224">
        <v>45741</v>
      </c>
      <c r="B84" vm="1673">
        <v>87895.58</v>
      </c>
      <c r="C84" s="5">
        <f t="shared" si="1"/>
        <v>-1.1832151824723976E-5</v>
      </c>
    </row>
    <row r="85" spans="1:3" x14ac:dyDescent="0.2">
      <c r="A85" vm="1218">
        <v>45742</v>
      </c>
      <c r="B85" vm="1669">
        <v>87273.75</v>
      </c>
      <c r="C85" s="5">
        <f t="shared" si="1"/>
        <v>-7.099788667873524E-3</v>
      </c>
    </row>
    <row r="86" spans="1:3" x14ac:dyDescent="0.2">
      <c r="A86" vm="1212">
        <v>45743</v>
      </c>
      <c r="B86" vm="1665">
        <v>87305.09</v>
      </c>
      <c r="C86" s="5">
        <f t="shared" si="1"/>
        <v>3.590354975053543E-4</v>
      </c>
    </row>
    <row r="87" spans="1:3" x14ac:dyDescent="0.2">
      <c r="A87" vm="1206">
        <v>45744</v>
      </c>
      <c r="B87" vm="1661">
        <v>83793.95</v>
      </c>
      <c r="C87" s="5">
        <f t="shared" si="1"/>
        <v>-4.104795666460799E-2</v>
      </c>
    </row>
    <row r="88" spans="1:3" x14ac:dyDescent="0.2">
      <c r="A88" vm="1653">
        <v>45745</v>
      </c>
      <c r="B88" vm="1657">
        <v>82506.080000000002</v>
      </c>
      <c r="C88" s="5">
        <f t="shared" si="1"/>
        <v>-1.5488821582900712E-2</v>
      </c>
    </row>
    <row r="89" spans="1:3" x14ac:dyDescent="0.2">
      <c r="A89" vm="1648">
        <v>45746</v>
      </c>
      <c r="B89" vm="1652">
        <v>82547.94</v>
      </c>
      <c r="C89" s="5">
        <f t="shared" si="1"/>
        <v>5.0722788693632404E-4</v>
      </c>
    </row>
    <row r="90" spans="1:3" x14ac:dyDescent="0.2">
      <c r="A90" vm="1199">
        <v>45747</v>
      </c>
      <c r="B90" vm="1647">
        <v>82437.86</v>
      </c>
      <c r="C90" s="5">
        <f t="shared" si="1"/>
        <v>-1.3344180691271198E-3</v>
      </c>
    </row>
    <row r="91" spans="1:3" x14ac:dyDescent="0.2">
      <c r="A91" vm="1192">
        <v>45748</v>
      </c>
      <c r="B91" vm="1643">
        <v>85239.86</v>
      </c>
      <c r="C91" s="5">
        <f t="shared" si="1"/>
        <v>3.3424367395015843E-2</v>
      </c>
    </row>
    <row r="92" spans="1:3" x14ac:dyDescent="0.2">
      <c r="A92" vm="1186">
        <v>45749</v>
      </c>
      <c r="B92" vm="1639">
        <v>85665.98</v>
      </c>
      <c r="C92" s="5">
        <f t="shared" si="1"/>
        <v>4.9866158231137141E-3</v>
      </c>
    </row>
    <row r="93" spans="1:3" x14ac:dyDescent="0.2">
      <c r="A93" vm="1180">
        <v>45750</v>
      </c>
      <c r="B93" vm="1635">
        <v>82333.240000000005</v>
      </c>
      <c r="C93" s="5">
        <f t="shared" si="1"/>
        <v>-3.9680866274796778E-2</v>
      </c>
    </row>
    <row r="94" spans="1:3" x14ac:dyDescent="0.2">
      <c r="A94" vm="1174">
        <v>45751</v>
      </c>
      <c r="B94" vm="1632">
        <v>84128.75</v>
      </c>
      <c r="C94" s="5">
        <f t="shared" si="1"/>
        <v>2.1573449138433256E-2</v>
      </c>
    </row>
    <row r="95" spans="1:3" x14ac:dyDescent="0.2">
      <c r="A95" vm="1624">
        <v>45752</v>
      </c>
      <c r="B95" vm="1628">
        <v>83042.600000000006</v>
      </c>
      <c r="C95" s="5">
        <f t="shared" si="1"/>
        <v>-1.2994634355049219E-2</v>
      </c>
    </row>
    <row r="96" spans="1:3" x14ac:dyDescent="0.2">
      <c r="A96" vm="1619">
        <v>45753</v>
      </c>
      <c r="B96" vm="1623">
        <v>78808.77</v>
      </c>
      <c r="C96" s="5">
        <f t="shared" si="1"/>
        <v>-5.2329444052057097E-2</v>
      </c>
    </row>
    <row r="97" spans="1:3" x14ac:dyDescent="0.2">
      <c r="A97" vm="1168">
        <v>45754</v>
      </c>
      <c r="B97" vm="1618">
        <v>78917.52</v>
      </c>
      <c r="C97" s="5">
        <f t="shared" si="1"/>
        <v>1.378971346284849E-3</v>
      </c>
    </row>
    <row r="98" spans="1:3" x14ac:dyDescent="0.2">
      <c r="A98" vm="1162">
        <v>45755</v>
      </c>
      <c r="B98" vm="1614">
        <v>77038.03</v>
      </c>
      <c r="C98" s="5">
        <f t="shared" si="1"/>
        <v>-2.4104060402554289E-2</v>
      </c>
    </row>
    <row r="99" spans="1:3" x14ac:dyDescent="0.2">
      <c r="A99" vm="1155">
        <v>45756</v>
      </c>
      <c r="B99" vm="1610">
        <v>83199.83</v>
      </c>
      <c r="C99" s="5">
        <f t="shared" si="1"/>
        <v>7.6946108524801077E-2</v>
      </c>
    </row>
    <row r="100" spans="1:3" x14ac:dyDescent="0.2">
      <c r="A100" vm="1148">
        <v>45757</v>
      </c>
      <c r="B100" vm="1606">
        <v>79876.91</v>
      </c>
      <c r="C100" s="5">
        <f t="shared" si="1"/>
        <v>-4.0758479780974452E-2</v>
      </c>
    </row>
    <row r="101" spans="1:3" x14ac:dyDescent="0.2">
      <c r="A101" vm="1142">
        <v>45758</v>
      </c>
      <c r="B101" vm="1601">
        <v>83828.03</v>
      </c>
      <c r="C101" s="5">
        <f t="shared" si="1"/>
        <v>4.8280613658412339E-2</v>
      </c>
    </row>
    <row r="102" spans="1:3" x14ac:dyDescent="0.2">
      <c r="A102" vm="1591">
        <v>45759</v>
      </c>
      <c r="B102" vm="1595">
        <v>85507.77</v>
      </c>
      <c r="C102" s="5">
        <f t="shared" si="1"/>
        <v>1.9839810573332541E-2</v>
      </c>
    </row>
    <row r="103" spans="1:3" x14ac:dyDescent="0.2">
      <c r="A103" vm="1584">
        <v>45760</v>
      </c>
      <c r="B103" vm="1588">
        <v>83482.740000000005</v>
      </c>
      <c r="C103" s="5">
        <f t="shared" si="1"/>
        <v>-2.3967345103382554E-2</v>
      </c>
    </row>
    <row r="104" spans="1:3" x14ac:dyDescent="0.2">
      <c r="A104" vm="1136">
        <v>45761</v>
      </c>
      <c r="B104" vm="1581">
        <v>84881.05</v>
      </c>
      <c r="C104" s="5">
        <f t="shared" si="1"/>
        <v>1.6610960731260335E-2</v>
      </c>
    </row>
    <row r="105" spans="1:3" x14ac:dyDescent="0.2">
      <c r="A105" vm="1130">
        <v>45762</v>
      </c>
      <c r="B105" vm="1575">
        <v>83996.68</v>
      </c>
      <c r="C105" s="5">
        <f t="shared" si="1"/>
        <v>-1.0473590381789601E-2</v>
      </c>
    </row>
    <row r="106" spans="1:3" x14ac:dyDescent="0.2">
      <c r="A106" vm="1124">
        <v>45763</v>
      </c>
      <c r="B106" vm="1570">
        <v>84297.88</v>
      </c>
      <c r="C106" s="5">
        <f t="shared" si="1"/>
        <v>3.5794421589306273E-3</v>
      </c>
    </row>
    <row r="107" spans="1:3" x14ac:dyDescent="0.2">
      <c r="A107" vm="1119">
        <v>45764</v>
      </c>
      <c r="B107" vm="1564">
        <v>85141.71</v>
      </c>
      <c r="C107" s="5">
        <f t="shared" si="1"/>
        <v>9.9603283532764264E-3</v>
      </c>
    </row>
    <row r="108" spans="1:3" x14ac:dyDescent="0.2">
      <c r="A108" vm="1112">
        <v>45765</v>
      </c>
      <c r="B108" vm="1558">
        <v>84491.51</v>
      </c>
      <c r="C108" s="5">
        <f t="shared" si="1"/>
        <v>-7.6659888223507781E-3</v>
      </c>
    </row>
    <row r="109" spans="1:3" x14ac:dyDescent="0.2">
      <c r="A109" vm="1550">
        <v>45766</v>
      </c>
      <c r="B109" vm="1554">
        <v>85200.27</v>
      </c>
      <c r="C109" s="5">
        <f t="shared" si="1"/>
        <v>8.3535469017736504E-3</v>
      </c>
    </row>
    <row r="110" spans="1:3" x14ac:dyDescent="0.2">
      <c r="A110" vm="1544">
        <v>45767</v>
      </c>
      <c r="B110" vm="1548">
        <v>85083.24</v>
      </c>
      <c r="C110" s="5">
        <f t="shared" si="1"/>
        <v>-1.3745314320306649E-3</v>
      </c>
    </row>
    <row r="111" spans="1:3" x14ac:dyDescent="0.2">
      <c r="A111" vm="1105">
        <v>45768</v>
      </c>
      <c r="B111" vm="1541">
        <v>87334.25</v>
      </c>
      <c r="C111" s="5">
        <f t="shared" si="1"/>
        <v>2.6112639808806112E-2</v>
      </c>
    </row>
    <row r="112" spans="1:3" x14ac:dyDescent="0.2">
      <c r="A112" vm="1100">
        <v>45769</v>
      </c>
      <c r="B112" vm="1535">
        <v>91158.77</v>
      </c>
      <c r="C112" s="5">
        <f t="shared" si="1"/>
        <v>4.2860000305364229E-2</v>
      </c>
    </row>
    <row r="113" spans="1:3" x14ac:dyDescent="0.2">
      <c r="A113" vm="1094">
        <v>45770</v>
      </c>
      <c r="B113" vm="1529">
        <v>93681.43</v>
      </c>
      <c r="C113" s="5">
        <f t="shared" si="1"/>
        <v>2.7297272377483254E-2</v>
      </c>
    </row>
    <row r="114" spans="1:3" x14ac:dyDescent="0.2">
      <c r="A114" vm="1088">
        <v>45771</v>
      </c>
      <c r="B114" vm="1523">
        <v>93494.51</v>
      </c>
      <c r="C114" s="5">
        <f t="shared" si="1"/>
        <v>-1.9972659107407669E-3</v>
      </c>
    </row>
    <row r="115" spans="1:3" x14ac:dyDescent="0.2">
      <c r="A115" vm="1083">
        <v>45772</v>
      </c>
      <c r="B115" vm="1517">
        <v>94965.92</v>
      </c>
      <c r="C115" s="5">
        <f t="shared" si="1"/>
        <v>1.5615372403766262E-2</v>
      </c>
    </row>
    <row r="116" spans="1:3" x14ac:dyDescent="0.2">
      <c r="A116" vm="1507">
        <v>45773</v>
      </c>
      <c r="B116" vm="1511">
        <v>94145.74</v>
      </c>
      <c r="C116" s="5">
        <f t="shared" si="1"/>
        <v>-8.674083263856245E-3</v>
      </c>
    </row>
    <row r="117" spans="1:3" x14ac:dyDescent="0.2">
      <c r="A117" vm="1500">
        <v>45774</v>
      </c>
      <c r="B117" vm="1504">
        <v>94312.21</v>
      </c>
      <c r="C117" s="5">
        <f t="shared" si="1"/>
        <v>1.7666545061858455E-3</v>
      </c>
    </row>
    <row r="118" spans="1:3" x14ac:dyDescent="0.2">
      <c r="A118" vm="1077">
        <v>45775</v>
      </c>
      <c r="B118" vm="1497">
        <v>94515.06</v>
      </c>
      <c r="C118" s="5">
        <f t="shared" si="1"/>
        <v>2.1485252424858353E-3</v>
      </c>
    </row>
    <row r="119" spans="1:3" x14ac:dyDescent="0.2">
      <c r="A119" vm="1070">
        <v>45776</v>
      </c>
      <c r="B119" vm="1491">
        <v>94879.38</v>
      </c>
      <c r="C119" s="5">
        <f t="shared" si="1"/>
        <v>3.8472137762849564E-3</v>
      </c>
    </row>
    <row r="120" spans="1:3" x14ac:dyDescent="0.2">
      <c r="A120" vm="1063">
        <v>45777</v>
      </c>
      <c r="B120" vm="1485">
        <v>94584.43</v>
      </c>
      <c r="C120" s="5">
        <f t="shared" si="1"/>
        <v>-3.1135258841409386E-3</v>
      </c>
    </row>
    <row r="121" spans="1:3" x14ac:dyDescent="0.2">
      <c r="A121" vm="1057">
        <v>45778</v>
      </c>
      <c r="B121" vm="1480">
        <v>96479.92</v>
      </c>
      <c r="C121" s="5">
        <f t="shared" si="1"/>
        <v>1.9842029017194319E-2</v>
      </c>
    </row>
    <row r="122" spans="1:3" x14ac:dyDescent="0.2">
      <c r="A122" vm="1051">
        <v>45779</v>
      </c>
      <c r="B122" vm="1474">
        <v>97065.5</v>
      </c>
      <c r="C122" s="5">
        <f t="shared" si="1"/>
        <v>6.051104560285187E-3</v>
      </c>
    </row>
    <row r="123" spans="1:3" x14ac:dyDescent="0.2">
      <c r="A123" vm="1464">
        <v>45780</v>
      </c>
      <c r="B123" vm="1468">
        <v>96352.02</v>
      </c>
      <c r="C123" s="5">
        <f t="shared" si="1"/>
        <v>-7.377648479883518E-3</v>
      </c>
    </row>
    <row r="124" spans="1:3" x14ac:dyDescent="0.2">
      <c r="A124" vm="1457">
        <v>45781</v>
      </c>
      <c r="B124" vm="1461">
        <v>95730.16</v>
      </c>
      <c r="C124" s="5">
        <f t="shared" si="1"/>
        <v>-6.4749595472843331E-3</v>
      </c>
    </row>
    <row r="125" spans="1:3" x14ac:dyDescent="0.2">
      <c r="A125" vm="1045">
        <v>45782</v>
      </c>
      <c r="B125" vm="1454">
        <v>94255.05</v>
      </c>
      <c r="C125" s="5">
        <f t="shared" si="1"/>
        <v>-1.5528994529680935E-2</v>
      </c>
    </row>
    <row r="126" spans="1:3" x14ac:dyDescent="0.2">
      <c r="A126" vm="1039">
        <v>45783</v>
      </c>
      <c r="B126" vm="1448">
        <v>94708.93</v>
      </c>
      <c r="C126" s="5">
        <f t="shared" si="1"/>
        <v>4.8038877341753739E-3</v>
      </c>
    </row>
    <row r="127" spans="1:3" x14ac:dyDescent="0.2">
      <c r="A127" vm="1033">
        <v>45784</v>
      </c>
      <c r="B127" vm="1442">
        <v>96769.73</v>
      </c>
      <c r="C127" s="5">
        <f t="shared" si="1"/>
        <v>2.1525945239306479E-2</v>
      </c>
    </row>
    <row r="128" spans="1:3" x14ac:dyDescent="0.2">
      <c r="A128" vm="1026">
        <v>45785</v>
      </c>
      <c r="B128" vm="1436">
        <v>102631.99</v>
      </c>
      <c r="C128" s="5">
        <f t="shared" si="1"/>
        <v>5.8815438743483196E-2</v>
      </c>
    </row>
    <row r="129" spans="1:3" x14ac:dyDescent="0.2">
      <c r="A129" vm="1019">
        <v>45786</v>
      </c>
      <c r="B129" vm="1430">
        <v>103190.5</v>
      </c>
      <c r="C129" s="5">
        <f t="shared" si="1"/>
        <v>5.4271170351059871E-3</v>
      </c>
    </row>
    <row r="130" spans="1:3" x14ac:dyDescent="0.2">
      <c r="A130" vm="1420">
        <v>45787</v>
      </c>
      <c r="B130" vm="1424">
        <v>103174.5</v>
      </c>
      <c r="C130" s="5">
        <f t="shared" si="1"/>
        <v>-1.5506505494691753E-4</v>
      </c>
    </row>
    <row r="131" spans="1:3" x14ac:dyDescent="0.2">
      <c r="A131" vm="1413">
        <v>45788</v>
      </c>
      <c r="B131" vm="1417">
        <v>104301.47</v>
      </c>
      <c r="C131" s="5">
        <f t="shared" si="1"/>
        <v>1.08637263754436E-2</v>
      </c>
    </row>
    <row r="132" spans="1:3" x14ac:dyDescent="0.2">
      <c r="A132" vm="1013">
        <v>45789</v>
      </c>
      <c r="B132" vm="1410">
        <v>102685.39</v>
      </c>
      <c r="C132" s="5">
        <f t="shared" ref="C132:C195" si="2">LN(B132/B131)</f>
        <v>-1.561560805921508E-2</v>
      </c>
    </row>
    <row r="133" spans="1:3" x14ac:dyDescent="0.2">
      <c r="A133" vm="1007">
        <v>45790</v>
      </c>
      <c r="B133" vm="1404">
        <v>104611.87</v>
      </c>
      <c r="C133" s="5">
        <f t="shared" si="2"/>
        <v>1.8587177308056809E-2</v>
      </c>
    </row>
    <row r="134" spans="1:3" x14ac:dyDescent="0.2">
      <c r="A134" vm="1001">
        <v>45791</v>
      </c>
      <c r="B134" vm="1398">
        <v>103574.39999999999</v>
      </c>
      <c r="C134" s="5">
        <f t="shared" si="2"/>
        <v>-9.9668300729876813E-3</v>
      </c>
    </row>
    <row r="135" spans="1:3" x14ac:dyDescent="0.2">
      <c r="A135" vm="995">
        <v>45792</v>
      </c>
      <c r="B135" vm="1392">
        <v>103463.6</v>
      </c>
      <c r="C135" s="5">
        <f t="shared" si="2"/>
        <v>-1.0703350165462971E-3</v>
      </c>
    </row>
    <row r="136" spans="1:3" x14ac:dyDescent="0.2">
      <c r="A136" vm="989">
        <v>45793</v>
      </c>
      <c r="B136" vm="1386">
        <v>103740.65</v>
      </c>
      <c r="C136" s="5">
        <f t="shared" si="2"/>
        <v>2.6741745413380322E-3</v>
      </c>
    </row>
    <row r="137" spans="1:3" x14ac:dyDescent="0.2">
      <c r="A137" vm="1376">
        <v>45794</v>
      </c>
      <c r="B137" vm="1380">
        <v>103425.38</v>
      </c>
      <c r="C137" s="5">
        <f t="shared" si="2"/>
        <v>-3.0436480670404148E-3</v>
      </c>
    </row>
    <row r="138" spans="1:3" x14ac:dyDescent="0.2">
      <c r="A138" vm="1369">
        <v>45795</v>
      </c>
      <c r="B138" vm="1373">
        <v>104113.12</v>
      </c>
      <c r="C138" s="5">
        <f t="shared" si="2"/>
        <v>6.6276138396326092E-3</v>
      </c>
    </row>
    <row r="139" spans="1:3" x14ac:dyDescent="0.2">
      <c r="A139" vm="982">
        <v>45796</v>
      </c>
      <c r="B139" vm="1366">
        <v>105465.44</v>
      </c>
      <c r="C139" s="5">
        <f t="shared" si="2"/>
        <v>1.2905315970343669E-2</v>
      </c>
    </row>
    <row r="140" spans="1:3" x14ac:dyDescent="0.2">
      <c r="A140" vm="975">
        <v>45797</v>
      </c>
      <c r="B140" vm="1360">
        <v>106944.59</v>
      </c>
      <c r="C140" s="5">
        <f t="shared" si="2"/>
        <v>1.392753355303347E-2</v>
      </c>
    </row>
    <row r="141" spans="1:3" x14ac:dyDescent="0.2">
      <c r="A141" vm="969">
        <v>45798</v>
      </c>
      <c r="B141" vm="1354">
        <v>108277.94</v>
      </c>
      <c r="C141" s="5">
        <f t="shared" si="2"/>
        <v>1.2390589950726385E-2</v>
      </c>
    </row>
    <row r="142" spans="1:3" x14ac:dyDescent="0.2">
      <c r="A142" vm="963">
        <v>45799</v>
      </c>
      <c r="B142" vm="1348">
        <v>111068.54</v>
      </c>
      <c r="C142" s="5">
        <f t="shared" si="2"/>
        <v>2.5446048414553561E-2</v>
      </c>
    </row>
    <row r="143" spans="1:3" x14ac:dyDescent="0.2">
      <c r="A143" vm="957">
        <v>45800</v>
      </c>
      <c r="B143" vm="1342">
        <v>108256.14</v>
      </c>
      <c r="C143" s="5">
        <f t="shared" si="2"/>
        <v>-2.5647402400712671E-2</v>
      </c>
    </row>
    <row r="144" spans="1:3" x14ac:dyDescent="0.2">
      <c r="A144" vm="1332">
        <v>45801</v>
      </c>
      <c r="B144" vm="1336">
        <v>108903.15</v>
      </c>
      <c r="C144" s="5">
        <f t="shared" si="2"/>
        <v>5.9588693120897667E-3</v>
      </c>
    </row>
    <row r="145" spans="1:3" x14ac:dyDescent="0.2">
      <c r="A145" vm="1325">
        <v>45802</v>
      </c>
      <c r="B145" vm="1329">
        <v>107707.13</v>
      </c>
      <c r="C145" s="5">
        <f t="shared" si="2"/>
        <v>-1.1043170755238682E-2</v>
      </c>
    </row>
    <row r="146" spans="1:3" x14ac:dyDescent="0.2">
      <c r="A146" vm="951">
        <v>45803</v>
      </c>
      <c r="B146" vm="1322">
        <v>109596.9</v>
      </c>
      <c r="C146" s="5">
        <f t="shared" si="2"/>
        <v>1.73933050571904E-2</v>
      </c>
    </row>
    <row r="147" spans="1:3" x14ac:dyDescent="0.2">
      <c r="A147" vm="945">
        <v>45804</v>
      </c>
      <c r="B147" vm="1316">
        <v>109622.5</v>
      </c>
      <c r="C147" s="5">
        <f t="shared" si="2"/>
        <v>2.3355597284164043E-4</v>
      </c>
    </row>
    <row r="148" spans="1:3" x14ac:dyDescent="0.2">
      <c r="A148" vm="938">
        <v>45805</v>
      </c>
      <c r="B148" vm="1310">
        <v>107328.35</v>
      </c>
      <c r="C148" s="5">
        <f t="shared" si="2"/>
        <v>-2.1149818188174397E-2</v>
      </c>
    </row>
    <row r="149" spans="1:3" x14ac:dyDescent="0.2">
      <c r="A149" vm="931">
        <v>45806</v>
      </c>
      <c r="B149" vm="1304">
        <v>106173.29</v>
      </c>
      <c r="C149" s="5">
        <f t="shared" si="2"/>
        <v>-1.0820256643616102E-2</v>
      </c>
    </row>
    <row r="150" spans="1:3" x14ac:dyDescent="0.2">
      <c r="A150" vm="925">
        <v>45807</v>
      </c>
      <c r="B150" vm="1299">
        <v>104563.77</v>
      </c>
      <c r="C150" s="5">
        <f t="shared" si="2"/>
        <v>-1.5275446064345905E-2</v>
      </c>
    </row>
    <row r="151" spans="1:3" x14ac:dyDescent="0.2">
      <c r="A151" vm="1289">
        <v>45808</v>
      </c>
      <c r="B151" vm="1293">
        <v>104828.91</v>
      </c>
      <c r="C151" s="5">
        <f t="shared" si="2"/>
        <v>2.5324681044622292E-3</v>
      </c>
    </row>
    <row r="152" spans="1:3" x14ac:dyDescent="0.2">
      <c r="A152" vm="1282">
        <v>45809</v>
      </c>
      <c r="B152" vm="1286">
        <v>105009.13</v>
      </c>
      <c r="C152" s="5">
        <f t="shared" si="2"/>
        <v>1.7177061348057521E-3</v>
      </c>
    </row>
    <row r="153" spans="1:3" x14ac:dyDescent="0.2">
      <c r="A153" vm="919">
        <v>45810</v>
      </c>
      <c r="B153" vm="1279">
        <v>104924.14</v>
      </c>
      <c r="C153" s="5">
        <f t="shared" si="2"/>
        <v>-8.0968590298455983E-4</v>
      </c>
    </row>
    <row r="154" spans="1:3" x14ac:dyDescent="0.2">
      <c r="A154" vm="913">
        <v>45811</v>
      </c>
      <c r="B154" vm="1273">
        <v>105805.14</v>
      </c>
      <c r="C154" s="5">
        <f t="shared" si="2"/>
        <v>8.3614876193925103E-3</v>
      </c>
    </row>
    <row r="155" spans="1:3" x14ac:dyDescent="0.2">
      <c r="A155" vm="907">
        <v>45812</v>
      </c>
      <c r="B155" vm="1267">
        <v>104644.64</v>
      </c>
      <c r="C155" s="5">
        <f t="shared" si="2"/>
        <v>-1.1028871241310613E-2</v>
      </c>
    </row>
    <row r="156" spans="1:3" x14ac:dyDescent="0.2">
      <c r="A156" vm="901">
        <v>45813</v>
      </c>
      <c r="B156" vm="1261">
        <v>100512.24</v>
      </c>
      <c r="C156" s="5">
        <f t="shared" si="2"/>
        <v>-4.0290718105454475E-2</v>
      </c>
    </row>
    <row r="157" spans="1:3" x14ac:dyDescent="0.2">
      <c r="A157" vm="894">
        <v>45814</v>
      </c>
      <c r="B157" vm="1255">
        <v>104572.85</v>
      </c>
      <c r="C157" s="5">
        <f t="shared" si="2"/>
        <v>3.960444658181117E-2</v>
      </c>
    </row>
    <row r="158" spans="1:3" x14ac:dyDescent="0.2">
      <c r="A158" vm="1245">
        <v>45815</v>
      </c>
      <c r="B158" vm="1249">
        <v>105907.3</v>
      </c>
      <c r="C158" s="5">
        <f t="shared" si="2"/>
        <v>1.2680225477421618E-2</v>
      </c>
    </row>
    <row r="159" spans="1:3" x14ac:dyDescent="0.2">
      <c r="A159" vm="1238">
        <v>45816</v>
      </c>
      <c r="B159" vm="1242">
        <v>106209.81</v>
      </c>
      <c r="C159" s="5">
        <f t="shared" si="2"/>
        <v>2.8522942358700956E-3</v>
      </c>
    </row>
    <row r="160" spans="1:3" x14ac:dyDescent="0.2">
      <c r="A160" vm="887">
        <v>45817</v>
      </c>
      <c r="B160" vm="1235">
        <v>108773.61</v>
      </c>
      <c r="C160" s="5">
        <f t="shared" si="2"/>
        <v>2.3852272430443605E-2</v>
      </c>
    </row>
    <row r="161" spans="1:3" x14ac:dyDescent="0.2">
      <c r="A161" vm="881">
        <v>45818</v>
      </c>
      <c r="B161" vm="1229">
        <v>109963.45</v>
      </c>
      <c r="C161" s="5">
        <f t="shared" si="2"/>
        <v>1.0879287996803473E-2</v>
      </c>
    </row>
    <row r="162" spans="1:3" x14ac:dyDescent="0.2">
      <c r="A162" vm="875">
        <v>45819</v>
      </c>
      <c r="B162" vm="1223">
        <v>108897.47</v>
      </c>
      <c r="C162" s="5">
        <f t="shared" si="2"/>
        <v>-9.7412405045216935E-3</v>
      </c>
    </row>
    <row r="163" spans="1:3" x14ac:dyDescent="0.2">
      <c r="A163" vm="869">
        <v>45820</v>
      </c>
      <c r="B163" vm="1217">
        <v>106013.27</v>
      </c>
      <c r="C163" s="5">
        <f t="shared" si="2"/>
        <v>-2.6842522389944213E-2</v>
      </c>
    </row>
    <row r="164" spans="1:3" x14ac:dyDescent="0.2">
      <c r="A164" vm="863">
        <v>45821</v>
      </c>
      <c r="B164" vm="1211">
        <v>105469.72</v>
      </c>
      <c r="C164" s="5">
        <f t="shared" si="2"/>
        <v>-5.14037745421552E-3</v>
      </c>
    </row>
    <row r="165" spans="1:3" x14ac:dyDescent="0.2">
      <c r="A165" vm="1201">
        <v>45822</v>
      </c>
      <c r="B165" vm="1205">
        <v>104925.74</v>
      </c>
      <c r="C165" s="5">
        <f t="shared" si="2"/>
        <v>-5.1710356502039489E-3</v>
      </c>
    </row>
    <row r="166" spans="1:3" x14ac:dyDescent="0.2">
      <c r="A166" vm="1194">
        <v>45823</v>
      </c>
      <c r="B166" vm="1198">
        <v>104783.29</v>
      </c>
      <c r="C166" s="5">
        <f t="shared" si="2"/>
        <v>-1.3585492423429108E-3</v>
      </c>
    </row>
    <row r="167" spans="1:3" x14ac:dyDescent="0.2">
      <c r="A167" vm="857">
        <v>45824</v>
      </c>
      <c r="B167" vm="1191">
        <v>108839.31</v>
      </c>
      <c r="C167" s="5">
        <f t="shared" si="2"/>
        <v>3.7978261704812673E-2</v>
      </c>
    </row>
    <row r="168" spans="1:3" x14ac:dyDescent="0.2">
      <c r="A168" vm="851">
        <v>45825</v>
      </c>
      <c r="B168" vm="1185">
        <v>104422.06</v>
      </c>
      <c r="C168" s="5">
        <f t="shared" si="2"/>
        <v>-4.1431618504650609E-2</v>
      </c>
    </row>
    <row r="169" spans="1:3" x14ac:dyDescent="0.2">
      <c r="A169" vm="844">
        <v>45826</v>
      </c>
      <c r="B169" vm="1179">
        <v>104856.02</v>
      </c>
      <c r="C169" s="5">
        <f t="shared" si="2"/>
        <v>4.1472152457368398E-3</v>
      </c>
    </row>
    <row r="170" spans="1:3" x14ac:dyDescent="0.2">
      <c r="A170" vm="838">
        <v>45827</v>
      </c>
      <c r="B170" vm="1173">
        <v>104302.39999999999</v>
      </c>
      <c r="C170" s="5">
        <f t="shared" si="2"/>
        <v>-5.2937987665113758E-3</v>
      </c>
    </row>
    <row r="171" spans="1:3" x14ac:dyDescent="0.2">
      <c r="A171" vm="832">
        <v>45828</v>
      </c>
      <c r="B171" vm="1167">
        <v>103719.88</v>
      </c>
      <c r="C171" s="5">
        <f t="shared" si="2"/>
        <v>-5.6005685797431946E-3</v>
      </c>
    </row>
    <row r="172" spans="1:3" x14ac:dyDescent="0.2">
      <c r="A172" vm="1157">
        <v>45829</v>
      </c>
      <c r="B172" vm="1161">
        <v>103512.58</v>
      </c>
      <c r="C172" s="5">
        <f t="shared" si="2"/>
        <v>-2.0006524957054276E-3</v>
      </c>
    </row>
    <row r="173" spans="1:3" x14ac:dyDescent="0.2">
      <c r="A173" vm="1150">
        <v>45830</v>
      </c>
      <c r="B173" vm="1154">
        <v>99567.51</v>
      </c>
      <c r="C173" s="5">
        <f t="shared" si="2"/>
        <v>-3.8857244658129939E-2</v>
      </c>
    </row>
    <row r="174" spans="1:3" x14ac:dyDescent="0.2">
      <c r="A174" vm="826">
        <v>45831</v>
      </c>
      <c r="B174" vm="1147">
        <v>103801.08</v>
      </c>
      <c r="C174" s="5">
        <f t="shared" si="2"/>
        <v>4.1640468747028002E-2</v>
      </c>
    </row>
    <row r="175" spans="1:3" x14ac:dyDescent="0.2">
      <c r="A175" vm="820">
        <v>45832</v>
      </c>
      <c r="B175" vm="1141">
        <v>106150.33</v>
      </c>
      <c r="C175" s="5">
        <f t="shared" si="2"/>
        <v>2.2379921650784926E-2</v>
      </c>
    </row>
    <row r="176" spans="1:3" x14ac:dyDescent="0.2">
      <c r="A176" vm="815">
        <v>45833</v>
      </c>
      <c r="B176" vm="1135">
        <v>107849.4</v>
      </c>
      <c r="C176" s="5">
        <f t="shared" si="2"/>
        <v>1.5879512584630728E-2</v>
      </c>
    </row>
    <row r="177" spans="1:3" x14ac:dyDescent="0.2">
      <c r="A177" vm="809">
        <v>45834</v>
      </c>
      <c r="B177" vm="1129">
        <v>107809.32</v>
      </c>
      <c r="C177" s="5">
        <f t="shared" si="2"/>
        <v>-3.7169839885387804E-4</v>
      </c>
    </row>
    <row r="178" spans="1:3" x14ac:dyDescent="0.2">
      <c r="A178" vm="803">
        <v>45835</v>
      </c>
      <c r="B178" vm="1123">
        <v>107141.4</v>
      </c>
      <c r="C178" s="5">
        <f t="shared" si="2"/>
        <v>-6.2146537559377895E-3</v>
      </c>
    </row>
    <row r="179" spans="1:3" x14ac:dyDescent="0.2">
      <c r="A179" vm="1114">
        <v>45836</v>
      </c>
      <c r="B179" vm="1118">
        <v>107222.54</v>
      </c>
      <c r="C179" s="5">
        <f t="shared" si="2"/>
        <v>7.5703034638268708E-4</v>
      </c>
    </row>
    <row r="180" spans="1:3" x14ac:dyDescent="0.2">
      <c r="A180" vm="1107">
        <v>45837</v>
      </c>
      <c r="B180" vm="1111">
        <v>107423.8</v>
      </c>
      <c r="C180" s="5">
        <f t="shared" si="2"/>
        <v>1.8752712855943576E-3</v>
      </c>
    </row>
    <row r="181" spans="1:3" x14ac:dyDescent="0.2">
      <c r="A181" vm="798">
        <v>45838</v>
      </c>
      <c r="B181" vm="1104">
        <v>107620.53</v>
      </c>
      <c r="C181" s="5">
        <f t="shared" si="2"/>
        <v>1.8296697697874054E-3</v>
      </c>
    </row>
    <row r="182" spans="1:3" x14ac:dyDescent="0.2">
      <c r="A182" vm="792">
        <v>45839</v>
      </c>
      <c r="B182" vm="1099">
        <v>105967.11</v>
      </c>
      <c r="C182" s="5">
        <f t="shared" si="2"/>
        <v>-1.5482665838863005E-2</v>
      </c>
    </row>
    <row r="183" spans="1:3" x14ac:dyDescent="0.2">
      <c r="A183" vm="786">
        <v>45840</v>
      </c>
      <c r="B183" vm="1093">
        <v>109231.15</v>
      </c>
      <c r="C183" s="5">
        <f t="shared" si="2"/>
        <v>3.0337516097723307E-2</v>
      </c>
    </row>
    <row r="184" spans="1:3" x14ac:dyDescent="0.2">
      <c r="A184" vm="780">
        <v>45841</v>
      </c>
      <c r="B184" vm="1087">
        <v>109992.92</v>
      </c>
      <c r="C184" s="5">
        <f t="shared" si="2"/>
        <v>6.949721041438147E-3</v>
      </c>
    </row>
    <row r="185" spans="1:3" x14ac:dyDescent="0.2">
      <c r="A185" vm="775">
        <v>45842</v>
      </c>
      <c r="B185" vm="1082">
        <v>107778.97</v>
      </c>
      <c r="C185" s="5">
        <f t="shared" si="2"/>
        <v>-2.0333444128927441E-2</v>
      </c>
    </row>
    <row r="186" spans="1:3" x14ac:dyDescent="0.2">
      <c r="A186" vm="1072">
        <v>45843</v>
      </c>
      <c r="B186" vm="1076">
        <v>108152.36</v>
      </c>
      <c r="C186" s="5">
        <f t="shared" si="2"/>
        <v>3.4584177494355259E-3</v>
      </c>
    </row>
    <row r="187" spans="1:3" x14ac:dyDescent="0.2">
      <c r="A187" vm="1065">
        <v>45844</v>
      </c>
      <c r="B187" vm="1069">
        <v>108753.94</v>
      </c>
      <c r="C187" s="5">
        <f t="shared" si="2"/>
        <v>5.5469254924314587E-3</v>
      </c>
    </row>
    <row r="188" spans="1:3" x14ac:dyDescent="0.2">
      <c r="A188" vm="768">
        <v>45845</v>
      </c>
      <c r="B188" vm="1062">
        <v>107921.74</v>
      </c>
      <c r="C188" s="5">
        <f t="shared" si="2"/>
        <v>-7.681564373924938E-3</v>
      </c>
    </row>
    <row r="189" spans="1:3" x14ac:dyDescent="0.2">
      <c r="A189" vm="761">
        <v>45846</v>
      </c>
      <c r="B189" vm="1056">
        <v>108716.34</v>
      </c>
      <c r="C189" s="5">
        <f t="shared" si="2"/>
        <v>7.335769993426779E-3</v>
      </c>
    </row>
    <row r="190" spans="1:3" x14ac:dyDescent="0.2">
      <c r="A190" vm="755">
        <v>45847</v>
      </c>
      <c r="B190" vm="1050">
        <v>110777.61</v>
      </c>
      <c r="C190" s="5">
        <f t="shared" si="2"/>
        <v>1.8782573263774614E-2</v>
      </c>
    </row>
    <row r="191" spans="1:3" x14ac:dyDescent="0.2">
      <c r="A191" vm="749">
        <v>45848</v>
      </c>
      <c r="B191" vm="1044">
        <v>113585.9</v>
      </c>
      <c r="C191" s="5">
        <f t="shared" si="2"/>
        <v>2.5034700784410273E-2</v>
      </c>
    </row>
    <row r="192" spans="1:3" x14ac:dyDescent="0.2">
      <c r="A192" vm="743">
        <v>45849</v>
      </c>
      <c r="B192" vm="1038">
        <v>117728.9</v>
      </c>
      <c r="C192" s="5">
        <f t="shared" si="2"/>
        <v>3.5825144768310169E-2</v>
      </c>
    </row>
    <row r="193" spans="1:3" x14ac:dyDescent="0.2">
      <c r="A193" vm="1028">
        <v>45850</v>
      </c>
      <c r="B193" vm="1032">
        <v>117128.74</v>
      </c>
      <c r="C193" s="5">
        <f t="shared" si="2"/>
        <v>-5.1108518878759286E-3</v>
      </c>
    </row>
    <row r="194" spans="1:3" x14ac:dyDescent="0.2">
      <c r="A194" vm="1021">
        <v>45851</v>
      </c>
      <c r="B194" vm="1025">
        <v>119127.63</v>
      </c>
      <c r="C194" s="5">
        <f t="shared" si="2"/>
        <v>1.692176763450088E-2</v>
      </c>
    </row>
    <row r="195" spans="1:3" x14ac:dyDescent="0.2">
      <c r="A195" vm="737">
        <v>45852</v>
      </c>
      <c r="B195" vm="1018">
        <v>120222.27</v>
      </c>
      <c r="C195" s="5">
        <f t="shared" si="2"/>
        <v>9.1468401021417584E-3</v>
      </c>
    </row>
    <row r="196" spans="1:3" x14ac:dyDescent="0.2">
      <c r="A196" vm="732">
        <v>45853</v>
      </c>
      <c r="B196" vm="1012">
        <v>116479.19</v>
      </c>
      <c r="C196" s="5">
        <f t="shared" ref="C196:C259" si="3">LN(B196/B195)</f>
        <v>-3.1629649041647827E-2</v>
      </c>
    </row>
    <row r="197" spans="1:3" x14ac:dyDescent="0.2">
      <c r="A197" vm="725">
        <v>45854</v>
      </c>
      <c r="B197" vm="1006">
        <v>119940.88</v>
      </c>
      <c r="C197" s="5">
        <f t="shared" si="3"/>
        <v>2.9286324274601958E-2</v>
      </c>
    </row>
    <row r="198" spans="1:3" x14ac:dyDescent="0.2">
      <c r="A198" vm="719">
        <v>45855</v>
      </c>
      <c r="B198" vm="1000">
        <v>119483.37</v>
      </c>
      <c r="C198" s="5">
        <f t="shared" si="3"/>
        <v>-3.8217562077270642E-3</v>
      </c>
    </row>
    <row r="199" spans="1:3" x14ac:dyDescent="0.2">
      <c r="A199" vm="714">
        <v>45856</v>
      </c>
      <c r="B199" vm="994">
        <v>117493.28</v>
      </c>
      <c r="C199" s="5">
        <f t="shared" si="3"/>
        <v>-1.6796058048198861E-2</v>
      </c>
    </row>
    <row r="200" spans="1:3" x14ac:dyDescent="0.2">
      <c r="A200" vm="984">
        <v>45857</v>
      </c>
      <c r="B200" vm="988">
        <v>117802.16</v>
      </c>
      <c r="C200" s="5">
        <f t="shared" si="3"/>
        <v>2.625466753012784E-3</v>
      </c>
    </row>
    <row r="201" spans="1:3" x14ac:dyDescent="0.2">
      <c r="A201" vm="977">
        <v>45858</v>
      </c>
      <c r="B201" vm="981">
        <v>118135.65</v>
      </c>
      <c r="C201" s="5">
        <f t="shared" si="3"/>
        <v>2.8269332676423751E-3</v>
      </c>
    </row>
    <row r="202" spans="1:3" x14ac:dyDescent="0.2">
      <c r="A202" vm="708">
        <v>45859</v>
      </c>
      <c r="B202" vm="974">
        <v>117003.73</v>
      </c>
      <c r="C202" s="5">
        <f t="shared" si="3"/>
        <v>-9.6277258485423407E-3</v>
      </c>
    </row>
    <row r="203" spans="1:3" x14ac:dyDescent="0.2">
      <c r="A203" vm="702">
        <v>45860</v>
      </c>
      <c r="B203" vm="968">
        <v>119780.85</v>
      </c>
      <c r="C203" s="5">
        <f t="shared" si="3"/>
        <v>2.3458008522964455E-2</v>
      </c>
    </row>
    <row r="204" spans="1:3" x14ac:dyDescent="0.2">
      <c r="A204" vm="696">
        <v>45861</v>
      </c>
      <c r="B204" vm="962">
        <v>117999.63</v>
      </c>
      <c r="C204" s="5">
        <f t="shared" si="3"/>
        <v>-1.498233428690504E-2</v>
      </c>
    </row>
    <row r="205" spans="1:3" x14ac:dyDescent="0.2">
      <c r="A205" vm="690">
        <v>45862</v>
      </c>
      <c r="B205" vm="956">
        <v>118778.45</v>
      </c>
      <c r="C205" s="5">
        <f t="shared" si="3"/>
        <v>6.5785043001374494E-3</v>
      </c>
    </row>
    <row r="206" spans="1:3" x14ac:dyDescent="0.2">
      <c r="A206" vm="684">
        <v>45863</v>
      </c>
      <c r="B206" vm="950">
        <v>117130.84</v>
      </c>
      <c r="C206" s="5">
        <f t="shared" si="3"/>
        <v>-1.3968392592772638E-2</v>
      </c>
    </row>
    <row r="207" spans="1:3" x14ac:dyDescent="0.2">
      <c r="A207" vm="940">
        <v>45864</v>
      </c>
      <c r="B207" vm="944">
        <v>118033.16</v>
      </c>
      <c r="C207" s="5">
        <f t="shared" si="3"/>
        <v>7.6740013620569796E-3</v>
      </c>
    </row>
    <row r="208" spans="1:3" x14ac:dyDescent="0.2">
      <c r="A208" vm="933">
        <v>45865</v>
      </c>
      <c r="B208" vm="937">
        <v>118821.31</v>
      </c>
      <c r="C208" s="5">
        <f t="shared" si="3"/>
        <v>6.6551660098222417E-3</v>
      </c>
    </row>
    <row r="209" spans="1:3" x14ac:dyDescent="0.2">
      <c r="A209" vm="677">
        <v>45866</v>
      </c>
      <c r="B209" vm="930">
        <v>118069.01</v>
      </c>
      <c r="C209" s="5">
        <f t="shared" si="3"/>
        <v>-6.3514839193483568E-3</v>
      </c>
    </row>
    <row r="210" spans="1:3" x14ac:dyDescent="0.2">
      <c r="A210" vm="671">
        <v>45867</v>
      </c>
      <c r="B210" vm="924">
        <v>117446.51</v>
      </c>
      <c r="C210" s="5">
        <f t="shared" si="3"/>
        <v>-5.2862881362384781E-3</v>
      </c>
    </row>
    <row r="211" spans="1:3" x14ac:dyDescent="0.2">
      <c r="A211" vm="665">
        <v>45868</v>
      </c>
      <c r="B211" vm="918">
        <v>117161.65</v>
      </c>
      <c r="C211" s="5">
        <f t="shared" si="3"/>
        <v>-2.4283907259395198E-3</v>
      </c>
    </row>
    <row r="212" spans="1:3" x14ac:dyDescent="0.2">
      <c r="A212" vm="659">
        <v>45869</v>
      </c>
      <c r="B212" vm="912">
        <v>116522.83</v>
      </c>
      <c r="C212" s="5">
        <f t="shared" si="3"/>
        <v>-5.4673856930175244E-3</v>
      </c>
    </row>
    <row r="213" spans="1:3" x14ac:dyDescent="0.2">
      <c r="A213" vm="653">
        <v>45870</v>
      </c>
      <c r="B213" vm="906">
        <v>113912.54</v>
      </c>
      <c r="C213" s="5">
        <f t="shared" si="3"/>
        <v>-2.2656258503331549E-2</v>
      </c>
    </row>
    <row r="214" spans="1:3" x14ac:dyDescent="0.2">
      <c r="A214" vm="896">
        <v>45871</v>
      </c>
      <c r="B214" vm="900">
        <v>112782.45</v>
      </c>
      <c r="C214" s="5">
        <f t="shared" si="3"/>
        <v>-9.970219115939729E-3</v>
      </c>
    </row>
    <row r="215" spans="1:3" x14ac:dyDescent="0.2">
      <c r="A215" vm="889">
        <v>45872</v>
      </c>
      <c r="B215" vm="893">
        <v>114457.95</v>
      </c>
      <c r="C215" s="5">
        <f t="shared" si="3"/>
        <v>1.474676478064464E-2</v>
      </c>
    </row>
    <row r="216" spans="1:3" x14ac:dyDescent="0.2">
      <c r="A216" vm="647">
        <v>45873</v>
      </c>
      <c r="B216" vm="886">
        <v>114862.8</v>
      </c>
      <c r="C216" s="5">
        <f t="shared" si="3"/>
        <v>3.5308660084691838E-3</v>
      </c>
    </row>
    <row r="217" spans="1:3" x14ac:dyDescent="0.2">
      <c r="A217" vm="640">
        <v>45874</v>
      </c>
      <c r="B217" vm="880">
        <v>113659.97</v>
      </c>
      <c r="C217" s="5">
        <f t="shared" si="3"/>
        <v>-1.0527100718229983E-2</v>
      </c>
    </row>
    <row r="218" spans="1:3" x14ac:dyDescent="0.2">
      <c r="A218" vm="633">
        <v>45875</v>
      </c>
      <c r="B218" vm="874">
        <v>115123.57</v>
      </c>
      <c r="C218" s="5">
        <f t="shared" si="3"/>
        <v>1.2794801293269068E-2</v>
      </c>
    </row>
    <row r="219" spans="1:3" x14ac:dyDescent="0.2">
      <c r="A219" vm="628">
        <v>45876</v>
      </c>
      <c r="B219" vm="868">
        <v>117247.76</v>
      </c>
      <c r="C219" s="5">
        <f t="shared" si="3"/>
        <v>1.8283229449173832E-2</v>
      </c>
    </row>
    <row r="220" spans="1:3" x14ac:dyDescent="0.2">
      <c r="A220" vm="622">
        <v>45877</v>
      </c>
      <c r="B220" vm="862">
        <v>116896.3</v>
      </c>
      <c r="C220" s="5">
        <f t="shared" si="3"/>
        <v>-3.0020856729108788E-3</v>
      </c>
    </row>
    <row r="221" spans="1:3" x14ac:dyDescent="0.2">
      <c r="A221" vm="852">
        <v>45878</v>
      </c>
      <c r="B221" vm="856">
        <v>116804.85</v>
      </c>
      <c r="C221" s="5">
        <f t="shared" si="3"/>
        <v>-7.8262348873980436E-4</v>
      </c>
    </row>
    <row r="222" spans="1:3" x14ac:dyDescent="0.2">
      <c r="A222" vm="846">
        <v>45879</v>
      </c>
      <c r="B222" vm="850">
        <v>118382.63</v>
      </c>
      <c r="C222" s="5">
        <f t="shared" si="3"/>
        <v>1.3417412101801448E-2</v>
      </c>
    </row>
    <row r="223" spans="1:3" x14ac:dyDescent="0.2">
      <c r="A223" vm="616">
        <v>45880</v>
      </c>
      <c r="B223" vm="843">
        <v>118872.07</v>
      </c>
      <c r="C223" s="5">
        <f t="shared" si="3"/>
        <v>4.1258672161375012E-3</v>
      </c>
    </row>
    <row r="224" spans="1:3" x14ac:dyDescent="0.2">
      <c r="A224" vm="610">
        <v>45881</v>
      </c>
      <c r="B224" vm="837">
        <v>120181.98</v>
      </c>
      <c r="C224" s="5">
        <f t="shared" si="3"/>
        <v>1.0959221234563237E-2</v>
      </c>
    </row>
    <row r="225" spans="1:3" x14ac:dyDescent="0.2">
      <c r="A225" vm="605">
        <v>45882</v>
      </c>
      <c r="B225" vm="831">
        <v>122934.67</v>
      </c>
      <c r="C225" s="5">
        <f t="shared" si="3"/>
        <v>2.2645982000034391E-2</v>
      </c>
    </row>
    <row r="226" spans="1:3" x14ac:dyDescent="0.2">
      <c r="A226" vm="599">
        <v>45883</v>
      </c>
      <c r="B226" vm="825">
        <v>117947.72</v>
      </c>
      <c r="C226" s="5">
        <f t="shared" si="3"/>
        <v>-4.1411600614988262E-2</v>
      </c>
    </row>
    <row r="227" spans="1:3" x14ac:dyDescent="0.2">
      <c r="A227" vm="592">
        <v>45884</v>
      </c>
      <c r="B227" vm="819">
        <v>117384.44</v>
      </c>
      <c r="C227" s="5">
        <f t="shared" si="3"/>
        <v>-4.7871151626600432E-3</v>
      </c>
    </row>
    <row r="228" spans="1:3" x14ac:dyDescent="0.2">
      <c r="A228" vm="811">
        <v>45885</v>
      </c>
      <c r="B228" vm="805">
        <v>117745.41</v>
      </c>
      <c r="C228" s="5">
        <f t="shared" si="3"/>
        <v>3.070390965511355E-3</v>
      </c>
    </row>
    <row r="229" spans="1:3" x14ac:dyDescent="0.2">
      <c r="A229" vm="804">
        <v>45886</v>
      </c>
      <c r="B229" vm="808">
        <v>117716.16</v>
      </c>
      <c r="C229" s="5">
        <f t="shared" si="3"/>
        <v>-2.4844818753613031E-4</v>
      </c>
    </row>
    <row r="230" spans="1:3" x14ac:dyDescent="0.2">
      <c r="A230" vm="586">
        <v>45887</v>
      </c>
      <c r="B230" vm="802">
        <v>116470.16</v>
      </c>
      <c r="C230" s="5">
        <f t="shared" si="3"/>
        <v>-1.0641200199567805E-2</v>
      </c>
    </row>
    <row r="231" spans="1:3" x14ac:dyDescent="0.2">
      <c r="A231" vm="581">
        <v>45888</v>
      </c>
      <c r="B231" vm="797">
        <v>113575.59</v>
      </c>
      <c r="C231" s="5">
        <f t="shared" si="3"/>
        <v>-2.5166496420759903E-2</v>
      </c>
    </row>
    <row r="232" spans="1:3" x14ac:dyDescent="0.2">
      <c r="A232" vm="576">
        <v>45889</v>
      </c>
      <c r="B232" vm="791">
        <v>114411.42</v>
      </c>
      <c r="C232" s="5">
        <f t="shared" si="3"/>
        <v>7.3322927011526141E-3</v>
      </c>
    </row>
    <row r="233" spans="1:3" x14ac:dyDescent="0.2">
      <c r="A233" vm="571">
        <v>45890</v>
      </c>
      <c r="B233" vm="785">
        <v>112429.1</v>
      </c>
      <c r="C233" s="5">
        <f t="shared" si="3"/>
        <v>-1.7478098389570183E-2</v>
      </c>
    </row>
    <row r="234" spans="1:3" x14ac:dyDescent="0.2">
      <c r="A234" vm="565">
        <v>45891</v>
      </c>
      <c r="B234" vm="779">
        <v>117004.03</v>
      </c>
      <c r="C234" s="5">
        <f t="shared" si="3"/>
        <v>3.9885577900253044E-2</v>
      </c>
    </row>
    <row r="235" spans="1:3" x14ac:dyDescent="0.2">
      <c r="A235" vm="770">
        <v>45892</v>
      </c>
      <c r="B235" vm="774">
        <v>115307.14</v>
      </c>
      <c r="C235" s="5">
        <f t="shared" si="3"/>
        <v>-1.4609027879321316E-2</v>
      </c>
    </row>
    <row r="236" spans="1:3" x14ac:dyDescent="0.2">
      <c r="A236" vm="763">
        <v>45893</v>
      </c>
      <c r="B236" vm="767">
        <v>112754.61</v>
      </c>
      <c r="C236" s="5">
        <f t="shared" si="3"/>
        <v>-2.2385486304782379E-2</v>
      </c>
    </row>
    <row r="237" spans="1:3" x14ac:dyDescent="0.2">
      <c r="A237" vm="559">
        <v>45894</v>
      </c>
      <c r="B237" vm="760">
        <v>109666.81</v>
      </c>
      <c r="C237" s="5">
        <f t="shared" si="3"/>
        <v>-2.7767095377610993E-2</v>
      </c>
    </row>
    <row r="238" spans="1:3" x14ac:dyDescent="0.2">
      <c r="A238" vm="553">
        <v>45895</v>
      </c>
      <c r="B238" vm="754">
        <v>111386.67</v>
      </c>
      <c r="C238" s="5">
        <f t="shared" si="3"/>
        <v>1.5560892359304232E-2</v>
      </c>
    </row>
    <row r="239" spans="1:3" x14ac:dyDescent="0.2">
      <c r="A239" vm="547">
        <v>45896</v>
      </c>
      <c r="B239" vm="748">
        <v>112434.47</v>
      </c>
      <c r="C239" s="5">
        <f t="shared" si="3"/>
        <v>9.362901596432216E-3</v>
      </c>
    </row>
    <row r="240" spans="1:3" x14ac:dyDescent="0.2">
      <c r="A240" vm="541">
        <v>45897</v>
      </c>
      <c r="B240" vm="742">
        <v>111968.63</v>
      </c>
      <c r="C240" s="5">
        <f t="shared" si="3"/>
        <v>-4.1518202659756647E-3</v>
      </c>
    </row>
    <row r="241" spans="1:3" x14ac:dyDescent="0.2">
      <c r="A241" vm="535">
        <v>45898</v>
      </c>
      <c r="B241" vm="736">
        <v>107814.56</v>
      </c>
      <c r="C241" s="5">
        <f t="shared" si="3"/>
        <v>-3.7806028487535837E-2</v>
      </c>
    </row>
    <row r="242" spans="1:3" x14ac:dyDescent="0.2">
      <c r="A242" vm="727">
        <v>45899</v>
      </c>
      <c r="B242" vm="731">
        <v>108700.02</v>
      </c>
      <c r="C242" s="5">
        <f t="shared" si="3"/>
        <v>8.1792638302726293E-3</v>
      </c>
    </row>
    <row r="243" spans="1:3" x14ac:dyDescent="0.2">
      <c r="A243" vm="720">
        <v>45900</v>
      </c>
      <c r="B243" vm="724">
        <v>109116.21</v>
      </c>
      <c r="C243" s="5">
        <f t="shared" si="3"/>
        <v>3.8214829674887451E-3</v>
      </c>
    </row>
    <row r="244" spans="1:3" x14ac:dyDescent="0.2">
      <c r="A244" vm="530">
        <v>45901</v>
      </c>
      <c r="B244" vm="718">
        <v>108865.31</v>
      </c>
      <c r="C244" s="5">
        <f t="shared" si="3"/>
        <v>-2.3020310235519863E-3</v>
      </c>
    </row>
    <row r="245" spans="1:3" x14ac:dyDescent="0.2">
      <c r="A245" vm="524">
        <v>45902</v>
      </c>
      <c r="B245" vm="713">
        <v>111417.87</v>
      </c>
      <c r="C245" s="5">
        <f t="shared" si="3"/>
        <v>2.3176297491073264E-2</v>
      </c>
    </row>
    <row r="246" spans="1:3" x14ac:dyDescent="0.2">
      <c r="A246" vm="517">
        <v>45903</v>
      </c>
      <c r="B246" vm="707">
        <v>112267.11</v>
      </c>
      <c r="C246" s="5">
        <f t="shared" si="3"/>
        <v>7.5932150685840555E-3</v>
      </c>
    </row>
    <row r="247" spans="1:3" x14ac:dyDescent="0.2">
      <c r="A247" vm="510">
        <v>45904</v>
      </c>
      <c r="B247" vm="701">
        <v>110413.59</v>
      </c>
      <c r="C247" s="5">
        <f t="shared" si="3"/>
        <v>-1.6647718530215197E-2</v>
      </c>
    </row>
    <row r="248" spans="1:3" x14ac:dyDescent="0.2">
      <c r="A248" vm="504">
        <v>45905</v>
      </c>
      <c r="B248" vm="695">
        <v>111659</v>
      </c>
      <c r="C248" s="5">
        <f t="shared" si="3"/>
        <v>1.1216359990392331E-2</v>
      </c>
    </row>
    <row r="249" spans="1:3" x14ac:dyDescent="0.2">
      <c r="A249" vm="685">
        <v>45906</v>
      </c>
      <c r="B249" vm="689">
        <v>110174.76</v>
      </c>
      <c r="C249" s="5">
        <f t="shared" si="3"/>
        <v>-1.3381751710501407E-2</v>
      </c>
    </row>
    <row r="250" spans="1:3" x14ac:dyDescent="0.2">
      <c r="A250" vm="679">
        <v>45907</v>
      </c>
      <c r="B250" vm="683">
        <v>111351.65</v>
      </c>
      <c r="C250" s="5">
        <f t="shared" si="3"/>
        <v>1.0625379361528771E-2</v>
      </c>
    </row>
    <row r="251" spans="1:3" x14ac:dyDescent="0.2">
      <c r="A251" vm="498">
        <v>45908</v>
      </c>
      <c r="B251" vm="676">
        <v>111986.95</v>
      </c>
      <c r="C251" s="5">
        <f t="shared" si="3"/>
        <v>5.6891349146330396E-3</v>
      </c>
    </row>
    <row r="252" spans="1:3" x14ac:dyDescent="0.2">
      <c r="A252" vm="492">
        <v>45909</v>
      </c>
      <c r="B252" vm="670">
        <v>111499.4</v>
      </c>
      <c r="C252" s="5">
        <f t="shared" si="3"/>
        <v>-4.3631369294431814E-3</v>
      </c>
    </row>
    <row r="253" spans="1:3" x14ac:dyDescent="0.2">
      <c r="A253" vm="486">
        <v>45910</v>
      </c>
      <c r="B253" vm="664">
        <v>113624.09</v>
      </c>
      <c r="C253" s="5">
        <f t="shared" si="3"/>
        <v>1.8876333944916564E-2</v>
      </c>
    </row>
    <row r="254" spans="1:3" x14ac:dyDescent="0.2">
      <c r="A254" vm="481">
        <v>45911</v>
      </c>
      <c r="B254" vm="658">
        <v>114425.38</v>
      </c>
      <c r="C254" s="5">
        <f t="shared" si="3"/>
        <v>7.0273638220882352E-3</v>
      </c>
    </row>
    <row r="255" spans="1:3" x14ac:dyDescent="0.2">
      <c r="A255" vm="475">
        <v>45912</v>
      </c>
      <c r="B255" vm="652">
        <v>116234.83</v>
      </c>
      <c r="C255" s="5">
        <f t="shared" si="3"/>
        <v>1.5689633841865031E-2</v>
      </c>
    </row>
    <row r="256" spans="1:3" x14ac:dyDescent="0.2">
      <c r="A256" vm="642">
        <v>45913</v>
      </c>
      <c r="B256" vm="646">
        <v>115950.16</v>
      </c>
      <c r="C256" s="5">
        <f t="shared" si="3"/>
        <v>-2.4520977229254694E-3</v>
      </c>
    </row>
    <row r="257" spans="1:3" x14ac:dyDescent="0.2">
      <c r="A257" vm="635">
        <v>45914</v>
      </c>
      <c r="B257" vm="639">
        <v>115854.63</v>
      </c>
      <c r="C257" s="5">
        <f t="shared" si="3"/>
        <v>-8.242280533392861E-4</v>
      </c>
    </row>
    <row r="258" spans="1:3" x14ac:dyDescent="0.2">
      <c r="A258" vm="469">
        <v>45915</v>
      </c>
      <c r="B258" vm="632">
        <v>115412.89</v>
      </c>
      <c r="C258" s="5">
        <f t="shared" si="3"/>
        <v>-3.8201692759800695E-3</v>
      </c>
    </row>
    <row r="259" spans="1:3" x14ac:dyDescent="0.2">
      <c r="A259" vm="463">
        <v>45916</v>
      </c>
      <c r="B259" vm="627">
        <v>116911.02</v>
      </c>
      <c r="C259" s="5">
        <f t="shared" si="3"/>
        <v>1.2897086364261959E-2</v>
      </c>
    </row>
    <row r="260" spans="1:3" x14ac:dyDescent="0.2">
      <c r="A260" vm="457">
        <v>45917</v>
      </c>
      <c r="B260" vm="621">
        <v>115647.65</v>
      </c>
      <c r="C260" s="5">
        <f t="shared" ref="C260:C323" si="4">LN(B260/B259)</f>
        <v>-1.0865064100493007E-2</v>
      </c>
    </row>
    <row r="261" spans="1:3" x14ac:dyDescent="0.2">
      <c r="A261" vm="451">
        <v>45918</v>
      </c>
      <c r="B261" vm="615">
        <v>117594.39</v>
      </c>
      <c r="C261" s="5">
        <f t="shared" si="4"/>
        <v>1.6693261704848146E-2</v>
      </c>
    </row>
    <row r="262" spans="1:3" x14ac:dyDescent="0.2">
      <c r="A262" vm="445">
        <v>45919</v>
      </c>
      <c r="B262" vm="609">
        <v>115418.74</v>
      </c>
      <c r="C262" s="5">
        <f t="shared" si="4"/>
        <v>-1.8674597674011292E-2</v>
      </c>
    </row>
    <row r="263" spans="1:3" x14ac:dyDescent="0.2">
      <c r="A263" vm="600">
        <v>45920</v>
      </c>
      <c r="B263" vm="604">
        <v>115855.17</v>
      </c>
      <c r="C263" s="5">
        <f t="shared" si="4"/>
        <v>3.7741439840593472E-3</v>
      </c>
    </row>
    <row r="264" spans="1:3" x14ac:dyDescent="0.2">
      <c r="A264" vm="594">
        <v>45921</v>
      </c>
      <c r="B264" vm="598">
        <v>115431.72</v>
      </c>
      <c r="C264" s="5">
        <f t="shared" si="4"/>
        <v>-3.6616902335780185E-3</v>
      </c>
    </row>
    <row r="265" spans="1:3" x14ac:dyDescent="0.2">
      <c r="A265" vm="439">
        <v>45922</v>
      </c>
      <c r="B265" vm="591">
        <v>112861.14</v>
      </c>
      <c r="C265" s="5">
        <f t="shared" si="4"/>
        <v>-2.2520972821407928E-2</v>
      </c>
    </row>
    <row r="266" spans="1:3" x14ac:dyDescent="0.2">
      <c r="A266" vm="432">
        <v>45923</v>
      </c>
      <c r="B266" vm="585">
        <v>112036.28</v>
      </c>
      <c r="C266" s="5">
        <f t="shared" si="4"/>
        <v>-7.3354660870895896E-3</v>
      </c>
    </row>
    <row r="267" spans="1:3" x14ac:dyDescent="0.2">
      <c r="A267" vm="426">
        <v>45924</v>
      </c>
      <c r="B267" vm="580">
        <v>113603.71</v>
      </c>
      <c r="C267" s="5">
        <f t="shared" si="4"/>
        <v>1.3893416791489036E-2</v>
      </c>
    </row>
    <row r="268" spans="1:3" x14ac:dyDescent="0.2">
      <c r="A268" vm="420">
        <v>45925</v>
      </c>
      <c r="B268" vm="575">
        <v>109222.55</v>
      </c>
      <c r="C268" s="5">
        <f t="shared" si="4"/>
        <v>-3.932862038074153E-2</v>
      </c>
    </row>
    <row r="269" spans="1:3" x14ac:dyDescent="0.2">
      <c r="A269" vm="414">
        <v>45926</v>
      </c>
      <c r="B269" vm="570">
        <v>109387.54</v>
      </c>
      <c r="C269" s="5">
        <f t="shared" si="4"/>
        <v>1.5094457106389612E-3</v>
      </c>
    </row>
    <row r="270" spans="1:3" x14ac:dyDescent="0.2">
      <c r="A270" vm="560">
        <v>45927</v>
      </c>
      <c r="B270" vm="564">
        <v>109485.72</v>
      </c>
      <c r="C270" s="5">
        <f t="shared" si="4"/>
        <v>8.9714025902577061E-4</v>
      </c>
    </row>
    <row r="271" spans="1:3" x14ac:dyDescent="0.2">
      <c r="A271" vm="554">
        <v>45928</v>
      </c>
      <c r="B271" vm="558">
        <v>110893.42</v>
      </c>
      <c r="C271" s="5">
        <f t="shared" si="4"/>
        <v>1.2775430070471027E-2</v>
      </c>
    </row>
    <row r="272" spans="1:3" x14ac:dyDescent="0.2">
      <c r="A272" vm="408">
        <v>45929</v>
      </c>
      <c r="B272" vm="552">
        <v>114354.22</v>
      </c>
      <c r="C272" s="5">
        <f t="shared" si="4"/>
        <v>3.0731264165335663E-2</v>
      </c>
    </row>
    <row r="273" spans="1:3" x14ac:dyDescent="0.2">
      <c r="A273" vm="402">
        <v>45930</v>
      </c>
      <c r="B273" vm="546">
        <v>114638.39999999999</v>
      </c>
      <c r="C273" s="5">
        <f t="shared" si="4"/>
        <v>2.4820026591864121E-3</v>
      </c>
    </row>
    <row r="274" spans="1:3" x14ac:dyDescent="0.2">
      <c r="A274" vm="395">
        <v>45931</v>
      </c>
      <c r="B274" vm="540">
        <v>117587.7</v>
      </c>
      <c r="C274" s="5">
        <f t="shared" si="4"/>
        <v>2.5401611469288141E-2</v>
      </c>
    </row>
    <row r="275" spans="1:3" x14ac:dyDescent="0.2">
      <c r="A275" vm="388">
        <v>45932</v>
      </c>
      <c r="B275" vm="534">
        <v>120720.06</v>
      </c>
      <c r="C275" s="5">
        <f t="shared" si="4"/>
        <v>2.6289873319678372E-2</v>
      </c>
    </row>
    <row r="276" spans="1:3" x14ac:dyDescent="0.2">
      <c r="A276" vm="382">
        <v>45933</v>
      </c>
      <c r="B276" vm="529">
        <v>122543.84</v>
      </c>
      <c r="C276" s="5">
        <f t="shared" si="4"/>
        <v>1.4994532035543066E-2</v>
      </c>
    </row>
    <row r="277" spans="1:3" x14ac:dyDescent="0.2">
      <c r="A277" vm="519">
        <v>45934</v>
      </c>
      <c r="B277" vm="523">
        <v>121974.55</v>
      </c>
      <c r="C277" s="5">
        <f t="shared" si="4"/>
        <v>-4.656427098400486E-3</v>
      </c>
    </row>
    <row r="278" spans="1:3" x14ac:dyDescent="0.2">
      <c r="A278" vm="512">
        <v>45935</v>
      </c>
      <c r="B278" vm="516">
        <v>122776.8</v>
      </c>
      <c r="C278" s="5">
        <f t="shared" si="4"/>
        <v>6.5556563685125113E-3</v>
      </c>
    </row>
    <row r="279" spans="1:3" x14ac:dyDescent="0.2">
      <c r="A279" vm="376">
        <v>45936</v>
      </c>
      <c r="B279" vm="509">
        <v>125251.28</v>
      </c>
      <c r="C279" s="5">
        <f t="shared" si="4"/>
        <v>1.9953886690615374E-2</v>
      </c>
    </row>
    <row r="280" spans="1:3" x14ac:dyDescent="0.2">
      <c r="A280" vm="370">
        <v>45937</v>
      </c>
      <c r="B280" vm="503">
        <v>122018.87</v>
      </c>
      <c r="C280" s="5">
        <f t="shared" si="4"/>
        <v>-2.6146254569729823E-2</v>
      </c>
    </row>
    <row r="281" spans="1:3" x14ac:dyDescent="0.2">
      <c r="A281" vm="364">
        <v>45938</v>
      </c>
      <c r="B281" vm="497">
        <v>122936.09</v>
      </c>
      <c r="C281" s="5">
        <f t="shared" si="4"/>
        <v>7.4889219371008986E-3</v>
      </c>
    </row>
    <row r="282" spans="1:3" x14ac:dyDescent="0.2">
      <c r="A282" vm="358">
        <v>45939</v>
      </c>
      <c r="B282" vm="491">
        <v>121174.96</v>
      </c>
      <c r="C282" s="5">
        <f t="shared" si="4"/>
        <v>-1.4429175210712483E-2</v>
      </c>
    </row>
    <row r="283" spans="1:3" x14ac:dyDescent="0.2">
      <c r="A283" vm="351">
        <v>45940</v>
      </c>
      <c r="B283" vm="485">
        <v>114390.64</v>
      </c>
      <c r="C283" s="5">
        <f t="shared" si="4"/>
        <v>-5.7616194213702468E-2</v>
      </c>
    </row>
    <row r="284" spans="1:3" x14ac:dyDescent="0.2">
      <c r="A284" vm="476">
        <v>45941</v>
      </c>
      <c r="B284" vm="480">
        <v>110438.92</v>
      </c>
      <c r="C284" s="5">
        <f t="shared" si="4"/>
        <v>-3.5156649468006992E-2</v>
      </c>
    </row>
    <row r="285" spans="1:3" x14ac:dyDescent="0.2">
      <c r="A285" vm="470">
        <v>45942</v>
      </c>
      <c r="B285" vm="474">
        <v>115059.85</v>
      </c>
      <c r="C285" s="5">
        <f t="shared" si="4"/>
        <v>4.0989819818063739E-2</v>
      </c>
    </row>
    <row r="286" spans="1:3" x14ac:dyDescent="0.2">
      <c r="A286" vm="345">
        <v>45943</v>
      </c>
      <c r="B286" vm="468">
        <v>115800.46</v>
      </c>
      <c r="C286" s="5">
        <f t="shared" si="4"/>
        <v>6.4161097305077122E-3</v>
      </c>
    </row>
    <row r="287" spans="1:3" x14ac:dyDescent="0.2">
      <c r="A287" vm="339">
        <v>45944</v>
      </c>
      <c r="B287" vm="462">
        <v>113062.66</v>
      </c>
      <c r="C287" s="5">
        <f t="shared" si="4"/>
        <v>-2.3926359196151201E-2</v>
      </c>
    </row>
    <row r="288" spans="1:3" x14ac:dyDescent="0.2">
      <c r="A288" vm="333">
        <v>45945</v>
      </c>
      <c r="B288" vm="456">
        <v>111200.86</v>
      </c>
      <c r="C288" s="5">
        <f t="shared" si="4"/>
        <v>-1.6604062701476501E-2</v>
      </c>
    </row>
    <row r="289" spans="1:3" x14ac:dyDescent="0.2">
      <c r="A289" vm="327">
        <v>45946</v>
      </c>
      <c r="B289" vm="450">
        <v>107854.61</v>
      </c>
      <c r="C289" s="5">
        <f t="shared" si="4"/>
        <v>-3.0553999125263402E-2</v>
      </c>
    </row>
    <row r="290" spans="1:3" x14ac:dyDescent="0.2">
      <c r="A290" vm="321">
        <v>45947</v>
      </c>
      <c r="B290" vm="444">
        <v>107085.82</v>
      </c>
      <c r="C290" s="5">
        <f t="shared" si="4"/>
        <v>-7.1535474126808085E-3</v>
      </c>
    </row>
    <row r="291" spans="1:3" x14ac:dyDescent="0.2">
      <c r="A291" vm="434">
        <v>45948</v>
      </c>
      <c r="B291" vm="438">
        <v>107116.35</v>
      </c>
      <c r="C291" s="5">
        <f t="shared" si="4"/>
        <v>2.8505780503280834E-4</v>
      </c>
    </row>
    <row r="292" spans="1:3" x14ac:dyDescent="0.2">
      <c r="A292" vm="314">
        <v>45950</v>
      </c>
      <c r="B292" vm="431">
        <v>111087.67</v>
      </c>
      <c r="C292" s="5">
        <f t="shared" si="4"/>
        <v>3.6404082522002251E-2</v>
      </c>
    </row>
    <row r="293" spans="1:3" x14ac:dyDescent="0.2">
      <c r="A293" vm="307">
        <v>45951</v>
      </c>
      <c r="B293" vm="425">
        <v>110922.81</v>
      </c>
      <c r="C293" s="5">
        <f t="shared" si="4"/>
        <v>-1.4851553881821947E-3</v>
      </c>
    </row>
    <row r="294" spans="1:3" x14ac:dyDescent="0.2">
      <c r="A294" vm="302">
        <v>45952</v>
      </c>
      <c r="B294" vm="419">
        <v>107681.82</v>
      </c>
      <c r="C294" s="5">
        <f t="shared" si="4"/>
        <v>-2.9653786315203542E-2</v>
      </c>
    </row>
    <row r="295" spans="1:3" x14ac:dyDescent="0.2">
      <c r="A295" vm="296">
        <v>45953</v>
      </c>
      <c r="B295" vm="413">
        <v>109598.04</v>
      </c>
      <c r="C295" s="5">
        <f t="shared" si="4"/>
        <v>1.7638723457098729E-2</v>
      </c>
    </row>
    <row r="296" spans="1:3" x14ac:dyDescent="0.2">
      <c r="A296" vm="291">
        <v>45954</v>
      </c>
      <c r="B296" vm="407">
        <v>110881.57</v>
      </c>
      <c r="C296" s="5">
        <f t="shared" si="4"/>
        <v>1.1643203650678762E-2</v>
      </c>
    </row>
    <row r="297" spans="1:3" x14ac:dyDescent="0.2">
      <c r="A297" vm="397">
        <v>45955</v>
      </c>
      <c r="B297" vm="401">
        <v>111451.59</v>
      </c>
      <c r="C297" s="5">
        <f t="shared" si="4"/>
        <v>5.1276314243179581E-3</v>
      </c>
    </row>
    <row r="298" spans="1:3" x14ac:dyDescent="0.2">
      <c r="A298" vm="390">
        <v>45956</v>
      </c>
      <c r="B298" vm="394">
        <v>113390.24</v>
      </c>
      <c r="C298" s="5">
        <f t="shared" si="4"/>
        <v>1.7244994352946585E-2</v>
      </c>
    </row>
    <row r="299" spans="1:3" x14ac:dyDescent="0.2">
      <c r="A299" vm="286">
        <v>45957</v>
      </c>
      <c r="B299" vm="387">
        <v>114521.38</v>
      </c>
      <c r="C299" s="5">
        <f t="shared" si="4"/>
        <v>9.9262098839285988E-3</v>
      </c>
    </row>
    <row r="300" spans="1:3" x14ac:dyDescent="0.2">
      <c r="A300" vm="280">
        <v>45958</v>
      </c>
      <c r="B300" vm="381">
        <v>112842.23</v>
      </c>
      <c r="C300" s="5">
        <f t="shared" si="4"/>
        <v>-1.4770882020112574E-2</v>
      </c>
    </row>
    <row r="301" spans="1:3" x14ac:dyDescent="0.2">
      <c r="A301" vm="273">
        <v>45959</v>
      </c>
      <c r="B301" vm="375">
        <v>111476.22</v>
      </c>
      <c r="C301" s="5">
        <f t="shared" si="4"/>
        <v>-1.2179353822552435E-2</v>
      </c>
    </row>
    <row r="302" spans="1:3" x14ac:dyDescent="0.2">
      <c r="A302" vm="267">
        <v>45960</v>
      </c>
      <c r="B302" vm="369">
        <v>107529.8</v>
      </c>
      <c r="C302" s="5">
        <f t="shared" si="4"/>
        <v>-3.6043276156892727E-2</v>
      </c>
    </row>
    <row r="303" spans="1:3" x14ac:dyDescent="0.2">
      <c r="A303" vm="261">
        <v>45961</v>
      </c>
      <c r="B303" vm="363">
        <v>109445.66</v>
      </c>
      <c r="C303" s="5">
        <f t="shared" si="4"/>
        <v>1.7660151918532829E-2</v>
      </c>
    </row>
    <row r="304" spans="1:3" x14ac:dyDescent="0.2">
      <c r="A304" vm="353">
        <v>45963</v>
      </c>
      <c r="B304" vm="357">
        <v>110026.94</v>
      </c>
      <c r="C304" s="5">
        <f t="shared" si="4"/>
        <v>5.2970745248132186E-3</v>
      </c>
    </row>
    <row r="305" spans="1:3" x14ac:dyDescent="0.2">
      <c r="A305" vm="255">
        <v>45964</v>
      </c>
      <c r="B305" vm="350">
        <v>106865.88</v>
      </c>
      <c r="C305" s="5">
        <f t="shared" si="4"/>
        <v>-2.9150654615494702E-2</v>
      </c>
    </row>
    <row r="306" spans="1:3" x14ac:dyDescent="0.2">
      <c r="A306" vm="249">
        <v>45965</v>
      </c>
      <c r="B306" vm="344">
        <v>100303.08</v>
      </c>
      <c r="C306" s="5">
        <f t="shared" si="4"/>
        <v>-6.3378187909711364E-2</v>
      </c>
    </row>
    <row r="307" spans="1:3" x14ac:dyDescent="0.2">
      <c r="A307" vm="243">
        <v>45966</v>
      </c>
      <c r="B307" vm="338">
        <v>103667.21</v>
      </c>
      <c r="C307" s="5">
        <f t="shared" si="4"/>
        <v>3.2989462282162325E-2</v>
      </c>
    </row>
    <row r="308" spans="1:3" x14ac:dyDescent="0.2">
      <c r="A308" vm="237">
        <v>45967</v>
      </c>
      <c r="B308" vm="332">
        <v>101087.01</v>
      </c>
      <c r="C308" s="5">
        <f t="shared" si="4"/>
        <v>-2.5204233530520918E-2</v>
      </c>
    </row>
    <row r="309" spans="1:3" x14ac:dyDescent="0.2">
      <c r="A309" vm="230">
        <v>45968</v>
      </c>
      <c r="B309" vm="326">
        <v>103827.55</v>
      </c>
      <c r="C309" s="5">
        <f t="shared" si="4"/>
        <v>2.6749718649418872E-2</v>
      </c>
    </row>
    <row r="310" spans="1:3" x14ac:dyDescent="0.2">
      <c r="A310" vm="316">
        <v>45969</v>
      </c>
      <c r="B310" vm="320">
        <v>102310.84</v>
      </c>
      <c r="C310" s="5">
        <f t="shared" si="4"/>
        <v>-1.471571957557999E-2</v>
      </c>
    </row>
    <row r="311" spans="1:3" x14ac:dyDescent="0.2">
      <c r="A311" vm="309">
        <v>45970</v>
      </c>
      <c r="B311" vm="313">
        <v>104507.69</v>
      </c>
      <c r="C311" s="5">
        <f t="shared" si="4"/>
        <v>2.1245027015846126E-2</v>
      </c>
    </row>
    <row r="312" spans="1:3" x14ac:dyDescent="0.2">
      <c r="A312" vm="223">
        <v>45971</v>
      </c>
      <c r="B312" vm="306">
        <v>105611.22</v>
      </c>
      <c r="C312" s="5">
        <f t="shared" si="4"/>
        <v>1.0503958413919526E-2</v>
      </c>
    </row>
    <row r="313" spans="1:3" x14ac:dyDescent="0.2">
      <c r="A313" vm="217">
        <v>45972</v>
      </c>
      <c r="B313" vm="301">
        <v>102650.01</v>
      </c>
      <c r="C313" s="5">
        <f t="shared" si="4"/>
        <v>-2.8439374744679828E-2</v>
      </c>
    </row>
    <row r="314" spans="1:3" x14ac:dyDescent="0.2">
      <c r="A314" vm="211">
        <v>45973</v>
      </c>
      <c r="B314" vm="295">
        <v>101875.61</v>
      </c>
      <c r="C314" s="5">
        <f t="shared" si="4"/>
        <v>-7.5726816101881261E-3</v>
      </c>
    </row>
    <row r="315" spans="1:3" x14ac:dyDescent="0.2">
      <c r="A315" vm="205">
        <v>45974</v>
      </c>
      <c r="B315" vm="290">
        <v>98803.33</v>
      </c>
      <c r="C315" s="5">
        <f t="shared" si="4"/>
        <v>-3.0621250633880673E-2</v>
      </c>
    </row>
    <row r="316" spans="1:3" x14ac:dyDescent="0.2">
      <c r="A316" vm="199">
        <v>45975</v>
      </c>
      <c r="B316" vm="285">
        <v>95009.94</v>
      </c>
      <c r="C316" s="5">
        <f t="shared" si="4"/>
        <v>-3.9149790933294716E-2</v>
      </c>
    </row>
    <row r="317" spans="1:3" x14ac:dyDescent="0.2">
      <c r="A317" vm="275">
        <v>45976</v>
      </c>
      <c r="B317" vm="279">
        <v>95198.58</v>
      </c>
      <c r="C317" s="5">
        <f t="shared" si="4"/>
        <v>1.983508013702642E-3</v>
      </c>
    </row>
    <row r="318" spans="1:3" x14ac:dyDescent="0.2">
      <c r="A318" vm="268">
        <v>45977</v>
      </c>
      <c r="B318" vm="272">
        <v>93440.63</v>
      </c>
      <c r="C318" s="5">
        <f t="shared" si="4"/>
        <v>-1.8638764367980593E-2</v>
      </c>
    </row>
    <row r="319" spans="1:3" x14ac:dyDescent="0.2">
      <c r="A319" vm="193">
        <v>45978</v>
      </c>
      <c r="B319" vm="266">
        <v>91806.41</v>
      </c>
      <c r="C319" s="5">
        <f t="shared" si="4"/>
        <v>-1.7644140454903819E-2</v>
      </c>
    </row>
    <row r="320" spans="1:3" x14ac:dyDescent="0.2">
      <c r="A320" vm="186">
        <v>45979</v>
      </c>
      <c r="B320" vm="260">
        <v>92461.78</v>
      </c>
      <c r="C320" s="5">
        <f t="shared" si="4"/>
        <v>7.1132490462115974E-3</v>
      </c>
    </row>
    <row r="321" spans="1:3" x14ac:dyDescent="0.2">
      <c r="A321" vm="179">
        <v>45980</v>
      </c>
      <c r="B321" vm="254">
        <v>90535.1</v>
      </c>
      <c r="C321" s="5">
        <f t="shared" si="4"/>
        <v>-2.1057749125816559E-2</v>
      </c>
    </row>
    <row r="322" spans="1:3" x14ac:dyDescent="0.2">
      <c r="A322" vm="173">
        <v>45981</v>
      </c>
      <c r="B322" vm="248">
        <v>87220.49</v>
      </c>
      <c r="C322" s="5">
        <f t="shared" si="4"/>
        <v>-3.7298340440831648E-2</v>
      </c>
    </row>
    <row r="323" spans="1:3" x14ac:dyDescent="0.2">
      <c r="A323" vm="167">
        <v>45982</v>
      </c>
      <c r="B323" vm="242">
        <v>85165.21</v>
      </c>
      <c r="C323" s="5">
        <f t="shared" si="4"/>
        <v>-2.3846263265188069E-2</v>
      </c>
    </row>
    <row r="324" spans="1:3" x14ac:dyDescent="0.2">
      <c r="A324" vm="232">
        <v>45983</v>
      </c>
      <c r="B324" vm="236">
        <v>84383.56</v>
      </c>
      <c r="C324" s="5">
        <f t="shared" ref="C324:C360" si="5">LN(B324/B323)</f>
        <v>-9.2204212125250179E-3</v>
      </c>
    </row>
    <row r="325" spans="1:3" x14ac:dyDescent="0.2">
      <c r="A325" vm="225">
        <v>45984</v>
      </c>
      <c r="B325" vm="229">
        <v>87997.47</v>
      </c>
      <c r="C325" s="5">
        <f t="shared" si="5"/>
        <v>4.1935468166262702E-2</v>
      </c>
    </row>
    <row r="326" spans="1:3" x14ac:dyDescent="0.2">
      <c r="A326" vm="161">
        <v>45985</v>
      </c>
      <c r="B326" vm="222">
        <v>88797</v>
      </c>
      <c r="C326" s="5">
        <f t="shared" si="5"/>
        <v>9.0448015787383852E-3</v>
      </c>
    </row>
    <row r="327" spans="1:3" x14ac:dyDescent="0.2">
      <c r="A327" vm="155">
        <v>45986</v>
      </c>
      <c r="B327" vm="216">
        <v>87028.44</v>
      </c>
      <c r="C327" s="5">
        <f t="shared" si="5"/>
        <v>-2.0117903856384216E-2</v>
      </c>
    </row>
    <row r="328" spans="1:3" x14ac:dyDescent="0.2">
      <c r="A328" vm="149">
        <v>45987</v>
      </c>
      <c r="B328" vm="210">
        <v>90189.85</v>
      </c>
      <c r="C328" s="5">
        <f t="shared" si="5"/>
        <v>3.5681931233401853E-2</v>
      </c>
    </row>
    <row r="329" spans="1:3" x14ac:dyDescent="0.2">
      <c r="A329" vm="143">
        <v>45988</v>
      </c>
      <c r="B329" vm="204">
        <v>91402.64</v>
      </c>
      <c r="C329" s="5">
        <f t="shared" si="5"/>
        <v>1.335746904855368E-2</v>
      </c>
    </row>
    <row r="330" spans="1:3" x14ac:dyDescent="0.2">
      <c r="A330" vm="136">
        <v>45989</v>
      </c>
      <c r="B330" vm="198">
        <v>90929.05</v>
      </c>
      <c r="C330" s="5">
        <f t="shared" si="5"/>
        <v>-5.1948299830348122E-3</v>
      </c>
    </row>
    <row r="331" spans="1:3" x14ac:dyDescent="0.2">
      <c r="A331" vm="188">
        <v>45990</v>
      </c>
      <c r="B331" vm="192">
        <v>91041.7</v>
      </c>
      <c r="C331" s="5">
        <f t="shared" si="5"/>
        <v>1.2381112282085444E-3</v>
      </c>
    </row>
    <row r="332" spans="1:3" x14ac:dyDescent="0.2">
      <c r="A332" vm="181">
        <v>45991</v>
      </c>
      <c r="B332" vm="185">
        <v>91179.77</v>
      </c>
      <c r="C332" s="5">
        <f t="shared" si="5"/>
        <v>1.5154089847123631E-3</v>
      </c>
    </row>
    <row r="333" spans="1:3" x14ac:dyDescent="0.2">
      <c r="A333" vm="130">
        <v>45992</v>
      </c>
      <c r="B333" vm="178">
        <v>86461.39</v>
      </c>
      <c r="C333" s="5">
        <f t="shared" si="5"/>
        <v>-5.3135096390338331E-2</v>
      </c>
    </row>
    <row r="334" spans="1:3" x14ac:dyDescent="0.2">
      <c r="A334" vm="124">
        <v>45993</v>
      </c>
      <c r="B334" vm="172">
        <v>91621.92</v>
      </c>
      <c r="C334" s="5">
        <f t="shared" si="5"/>
        <v>5.7972588453361971E-2</v>
      </c>
    </row>
    <row r="335" spans="1:3" x14ac:dyDescent="0.2">
      <c r="A335" vm="118">
        <v>45994</v>
      </c>
      <c r="B335" vm="166">
        <v>93738.69</v>
      </c>
      <c r="C335" s="5">
        <f t="shared" si="5"/>
        <v>2.2840473210793254E-2</v>
      </c>
    </row>
    <row r="336" spans="1:3" x14ac:dyDescent="0.2">
      <c r="A336" vm="112">
        <v>45995</v>
      </c>
      <c r="B336" vm="160">
        <v>92170.26</v>
      </c>
      <c r="C336" s="5">
        <f t="shared" si="5"/>
        <v>-1.6873498696864886E-2</v>
      </c>
    </row>
    <row r="337" spans="1:3" x14ac:dyDescent="0.2">
      <c r="A337" vm="106">
        <v>45996</v>
      </c>
      <c r="B337" vm="154">
        <v>89176.8</v>
      </c>
      <c r="C337" s="5">
        <f t="shared" si="5"/>
        <v>-3.3016602805388449E-2</v>
      </c>
    </row>
    <row r="338" spans="1:3" x14ac:dyDescent="0.2">
      <c r="A338" vm="144">
        <v>45997</v>
      </c>
      <c r="B338" vm="148">
        <v>89443.89</v>
      </c>
      <c r="C338" s="5">
        <f t="shared" si="5"/>
        <v>2.9905852346907898E-3</v>
      </c>
    </row>
    <row r="339" spans="1:3" x14ac:dyDescent="0.2">
      <c r="A339" vm="138">
        <v>45998</v>
      </c>
      <c r="B339" vm="142">
        <v>90225.75</v>
      </c>
      <c r="C339" s="5">
        <f t="shared" si="5"/>
        <v>8.7033617408889975E-3</v>
      </c>
    </row>
    <row r="340" spans="1:3" x14ac:dyDescent="0.2">
      <c r="A340" vm="99">
        <v>45999</v>
      </c>
      <c r="B340" vm="135">
        <v>91350.84</v>
      </c>
      <c r="C340" s="5">
        <f t="shared" si="5"/>
        <v>1.2392615137780519E-2</v>
      </c>
    </row>
    <row r="341" spans="1:3" x14ac:dyDescent="0.2">
      <c r="A341" vm="92">
        <v>46000</v>
      </c>
      <c r="B341" vm="129">
        <v>92687.58</v>
      </c>
      <c r="C341" s="5">
        <f t="shared" si="5"/>
        <v>1.4527004829048146E-2</v>
      </c>
    </row>
    <row r="342" spans="1:3" x14ac:dyDescent="0.2">
      <c r="A342" vm="86">
        <v>46001</v>
      </c>
      <c r="B342" vm="123">
        <v>92408.960000000006</v>
      </c>
      <c r="C342" s="5">
        <f t="shared" si="5"/>
        <v>-3.0105393697340936E-3</v>
      </c>
    </row>
    <row r="343" spans="1:3" x14ac:dyDescent="0.2">
      <c r="A343" vm="80">
        <v>46002</v>
      </c>
      <c r="B343" vm="117">
        <v>92909.38</v>
      </c>
      <c r="C343" s="5">
        <f t="shared" si="5"/>
        <v>5.4006658630755058E-3</v>
      </c>
    </row>
    <row r="344" spans="1:3" x14ac:dyDescent="0.2">
      <c r="A344" vm="74">
        <v>46003</v>
      </c>
      <c r="B344" vm="111">
        <v>90217.69</v>
      </c>
      <c r="C344" s="5">
        <f t="shared" si="5"/>
        <v>-2.9399081932885016E-2</v>
      </c>
    </row>
    <row r="345" spans="1:3" x14ac:dyDescent="0.2">
      <c r="A345" vm="101">
        <v>46004</v>
      </c>
      <c r="B345" vm="105">
        <v>90180.82</v>
      </c>
      <c r="C345" s="5">
        <f t="shared" si="5"/>
        <v>-4.0876169668332876E-4</v>
      </c>
    </row>
    <row r="346" spans="1:3" x14ac:dyDescent="0.2">
      <c r="A346" vm="94">
        <v>46005</v>
      </c>
      <c r="B346" vm="98">
        <v>88465.59</v>
      </c>
      <c r="C346" s="5">
        <f t="shared" si="5"/>
        <v>-1.9203103029887387E-2</v>
      </c>
    </row>
    <row r="347" spans="1:3" x14ac:dyDescent="0.2">
      <c r="A347" vm="68">
        <v>46006</v>
      </c>
      <c r="B347" vm="91">
        <v>86230.33</v>
      </c>
      <c r="C347" s="5">
        <f t="shared" si="5"/>
        <v>-2.5591690915689875E-2</v>
      </c>
    </row>
    <row r="348" spans="1:3" x14ac:dyDescent="0.2">
      <c r="A348" vm="62">
        <v>46007</v>
      </c>
      <c r="B348" vm="85">
        <v>87787.72</v>
      </c>
      <c r="C348" s="5">
        <f t="shared" si="5"/>
        <v>1.7899655602262463E-2</v>
      </c>
    </row>
    <row r="349" spans="1:3" x14ac:dyDescent="0.2">
      <c r="A349" vm="55">
        <v>46008</v>
      </c>
      <c r="B349" vm="79">
        <v>85983.95</v>
      </c>
      <c r="C349" s="5">
        <f t="shared" si="5"/>
        <v>-2.0760976604167578E-2</v>
      </c>
    </row>
    <row r="350" spans="1:3" x14ac:dyDescent="0.2">
      <c r="A350" vm="48">
        <v>46009</v>
      </c>
      <c r="B350" vm="73">
        <v>85603.58</v>
      </c>
      <c r="C350" s="5">
        <f t="shared" si="5"/>
        <v>-4.4335462263065161E-3</v>
      </c>
    </row>
    <row r="351" spans="1:3" x14ac:dyDescent="0.2">
      <c r="A351" vm="42">
        <v>46010</v>
      </c>
      <c r="B351" vm="67">
        <v>87803.14</v>
      </c>
      <c r="C351" s="5">
        <f t="shared" si="5"/>
        <v>2.537015839646688E-2</v>
      </c>
    </row>
    <row r="352" spans="1:3" x14ac:dyDescent="0.2">
      <c r="A352" vm="57">
        <v>46011</v>
      </c>
      <c r="B352" vm="61">
        <v>88193.31</v>
      </c>
      <c r="C352" s="5">
        <f t="shared" si="5"/>
        <v>4.433846696290605E-3</v>
      </c>
    </row>
    <row r="353" spans="1:3" x14ac:dyDescent="0.2">
      <c r="A353" vm="50">
        <v>46012</v>
      </c>
      <c r="B353" vm="54">
        <v>88159.02</v>
      </c>
      <c r="C353" s="5">
        <f t="shared" si="5"/>
        <v>-3.8888060545763599E-4</v>
      </c>
    </row>
    <row r="354" spans="1:3" x14ac:dyDescent="0.2">
      <c r="A354" vm="36">
        <v>46013</v>
      </c>
      <c r="B354" vm="47">
        <v>88252.1</v>
      </c>
      <c r="C354" s="5">
        <f t="shared" si="5"/>
        <v>1.0552623739099212E-3</v>
      </c>
    </row>
    <row r="355" spans="1:3" x14ac:dyDescent="0.2">
      <c r="A355" vm="30">
        <v>46014</v>
      </c>
      <c r="B355" vm="41">
        <v>87667.87</v>
      </c>
      <c r="C355" s="5">
        <f t="shared" si="5"/>
        <v>-6.6420219130870328E-3</v>
      </c>
    </row>
    <row r="356" spans="1:3" x14ac:dyDescent="0.2">
      <c r="A356" vm="24">
        <v>46015</v>
      </c>
      <c r="B356" vm="35">
        <v>87646.080000000002</v>
      </c>
      <c r="C356" s="5">
        <f t="shared" si="5"/>
        <v>-2.4858261549865775E-4</v>
      </c>
    </row>
    <row r="357" spans="1:3" x14ac:dyDescent="0.2">
      <c r="A357" vm="18">
        <v>46016</v>
      </c>
      <c r="B357" vm="29">
        <v>87851.04</v>
      </c>
      <c r="C357" s="5">
        <f t="shared" si="5"/>
        <v>2.3357658881820492E-3</v>
      </c>
    </row>
    <row r="358" spans="1:3" x14ac:dyDescent="0.2">
      <c r="A358" vm="11">
        <v>46017</v>
      </c>
      <c r="B358" vm="23">
        <v>87429.34</v>
      </c>
      <c r="C358" s="5">
        <f t="shared" si="5"/>
        <v>-4.8117286558289427E-3</v>
      </c>
    </row>
    <row r="359" spans="1:3" x14ac:dyDescent="0.2">
      <c r="A359" vm="13">
        <v>46018</v>
      </c>
      <c r="B359" vm="17">
        <v>87599.74</v>
      </c>
      <c r="C359" s="5">
        <f t="shared" si="5"/>
        <v>1.947105633364895E-3</v>
      </c>
    </row>
    <row r="360" spans="1:3" x14ac:dyDescent="0.2">
      <c r="A360" vm="6">
        <v>46019</v>
      </c>
      <c r="B360" vm="10">
        <v>87544.3</v>
      </c>
      <c r="C360" s="5">
        <f t="shared" si="5"/>
        <v>-6.3307894292774915E-4</v>
      </c>
    </row>
    <row r="361" spans="1:3" x14ac:dyDescent="0.2">
      <c r="C361" s="5"/>
    </row>
  </sheetData>
  <sortState xmlns:xlrd2="http://schemas.microsoft.com/office/spreadsheetml/2017/richdata2" ref="A2:A360">
    <sortCondition ref="A1:A360"/>
  </sortState>
  <mergeCells count="2">
    <mergeCell ref="J1:M1"/>
    <mergeCell ref="J4:K4"/>
  </mergeCells>
  <conditionalFormatting sqref="C2:C361">
    <cfRule type="cellIs" dxfId="20" priority="13" operator="greaterThan">
      <formula>0</formula>
    </cfRule>
    <cfRule type="cellIs" dxfId="19" priority="14" operator="greaterThan">
      <formula>0</formula>
    </cfRule>
    <cfRule type="cellIs" dxfId="18" priority="15" operator="lessThan">
      <formula>0</formula>
    </cfRule>
  </conditionalFormatting>
  <conditionalFormatting sqref="F1">
    <cfRule type="cellIs" dxfId="5" priority="4" operator="greaterThan">
      <formula>0</formula>
    </cfRule>
    <cfRule type="cellIs" dxfId="4" priority="5" operator="greaterThan">
      <formula>0</formula>
    </cfRule>
    <cfRule type="cellIs" dxfId="3" priority="6" operator="lessThan">
      <formula>0</formula>
    </cfRule>
  </conditionalFormatting>
  <conditionalFormatting sqref="F6">
    <cfRule type="cellIs" dxfId="2" priority="1" operator="greaterThan">
      <formula>1</formula>
    </cfRule>
    <cfRule type="cellIs" dxfId="1" priority="2" operator="between">
      <formula>0</formula>
      <formula>1</formula>
    </cfRule>
    <cfRule type="cellIs" dxfId="0" priority="3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D5ED9-1EFE-6D40-BFC8-399367C2CA1B}">
  <sheetPr codeName="Sheet3"/>
  <dimension ref="A1:O11"/>
  <sheetViews>
    <sheetView tabSelected="1" workbookViewId="0">
      <selection activeCell="B10" sqref="B10"/>
    </sheetView>
  </sheetViews>
  <sheetFormatPr baseColWidth="10" defaultRowHeight="16" x14ac:dyDescent="0.2"/>
  <cols>
    <col min="10" max="10" width="10.83203125" style="12"/>
  </cols>
  <sheetData>
    <row r="1" spans="1:15" x14ac:dyDescent="0.2">
      <c r="A1" t="s">
        <v>18</v>
      </c>
      <c r="B1">
        <f ca="1">'Present Values'!B3</f>
        <v>87138.8</v>
      </c>
      <c r="D1" s="13" t="s">
        <v>26</v>
      </c>
      <c r="E1" s="13"/>
      <c r="F1" s="13"/>
      <c r="G1" s="13"/>
      <c r="H1" s="13"/>
      <c r="K1" s="13" t="s">
        <v>16</v>
      </c>
      <c r="L1" s="13"/>
      <c r="M1" s="13"/>
      <c r="N1" s="13"/>
      <c r="O1" s="13"/>
    </row>
    <row r="2" spans="1:15" x14ac:dyDescent="0.2">
      <c r="A2" t="s">
        <v>19</v>
      </c>
      <c r="B2">
        <v>100000</v>
      </c>
    </row>
    <row r="3" spans="1:15" x14ac:dyDescent="0.2">
      <c r="A3" t="s">
        <v>20</v>
      </c>
      <c r="B3">
        <f>30/365</f>
        <v>8.2191780821917804E-2</v>
      </c>
    </row>
    <row r="4" spans="1:15" x14ac:dyDescent="0.2">
      <c r="A4" t="s">
        <v>21</v>
      </c>
      <c r="B4" s="5">
        <f ca="1">'Present Values'!E2</f>
        <v>4.1102E-2</v>
      </c>
      <c r="K4" t="s">
        <v>24</v>
      </c>
      <c r="L4" s="1" cm="1">
        <f t="array" aca="1" ref="L4" ca="1">BlackScholes("Call",B1,B2,B3,B4,B5)</f>
        <v>849.78888854199795</v>
      </c>
    </row>
    <row r="5" spans="1:15" x14ac:dyDescent="0.2">
      <c r="A5" t="s">
        <v>8</v>
      </c>
      <c r="B5" s="5">
        <f>'BTC Volatility'!L4</f>
        <v>0.4376941527712882</v>
      </c>
      <c r="K5" t="s">
        <v>25</v>
      </c>
      <c r="L5" s="1" cm="1">
        <f t="array" aca="1" ref="L5" ca="1">BlackScholes("Put",B1,B2,B3,B4,B5)</f>
        <v>13373.734216472803</v>
      </c>
    </row>
    <row r="7" spans="1:15" x14ac:dyDescent="0.2">
      <c r="A7" t="s">
        <v>22</v>
      </c>
      <c r="B7">
        <f ca="1">(LN(B1/B2)+(B4+(B5^2)/2)*B3)/(B5*SQRT(B3))</f>
        <v>-1.0074407112782113</v>
      </c>
    </row>
    <row r="8" spans="1:15" x14ac:dyDescent="0.2">
      <c r="A8" t="s">
        <v>23</v>
      </c>
      <c r="B8">
        <f ca="1">B7-B5*SQRT(B3)</f>
        <v>-1.1329237248217172</v>
      </c>
    </row>
    <row r="10" spans="1:15" x14ac:dyDescent="0.2">
      <c r="A10" t="s">
        <v>24</v>
      </c>
      <c r="B10" s="1">
        <f ca="1">B1*_xlfn.NORM.S.DIST(B7,TRUE)-B2*EXP(-B4*B3)*_xlfn.NORM.S.DIST(B8,TRUE)</f>
        <v>849.78888854199795</v>
      </c>
    </row>
    <row r="11" spans="1:15" x14ac:dyDescent="0.2">
      <c r="A11" t="s">
        <v>25</v>
      </c>
      <c r="B11" s="1">
        <f ca="1">B2*EXP(-B4*B3)*_xlfn.NORM.S.DIST(-B8,TRUE)-B1*_xlfn.NORM.S.DIST(-B7,TRUE)</f>
        <v>13373.734216472803</v>
      </c>
    </row>
  </sheetData>
  <mergeCells count="2">
    <mergeCell ref="D1:H1"/>
    <mergeCell ref="K1:O1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Present Values</vt:lpstr>
      <vt:lpstr>BTC Volatility</vt:lpstr>
      <vt:lpstr>BTC Option Pricing</vt:lpstr>
      <vt:lpstr>Sigma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NIETO Pierre</dc:creator>
  <cp:lastModifiedBy>NIETO Pierre</cp:lastModifiedBy>
  <dcterms:created xsi:type="dcterms:W3CDTF">2025-12-22T22:16:03Z</dcterms:created>
  <dcterms:modified xsi:type="dcterms:W3CDTF">2025-12-30T00:55:03Z</dcterms:modified>
</cp:coreProperties>
</file>